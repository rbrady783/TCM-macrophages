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dy\OneDrive\Desktop\TCM Final Data CIR\Cancer cell counts\"/>
    </mc:Choice>
  </mc:AlternateContent>
  <xr:revisionPtr revIDLastSave="0" documentId="13_ncr:1_{94060DB2-58FF-484F-9EAD-26EAF3B9B06B}" xr6:coauthVersionLast="47" xr6:coauthVersionMax="47" xr10:uidLastSave="{00000000-0000-0000-0000-000000000000}"/>
  <bookViews>
    <workbookView xWindow="29610" yWindow="-120" windowWidth="23310" windowHeight="13740" activeTab="2" xr2:uid="{00000000-000D-0000-FFFF-FFFF00000000}"/>
  </bookViews>
  <sheets>
    <sheet name="Flowsheet" sheetId="2" r:id="rId1"/>
    <sheet name="Flowsheet (2)" sheetId="8" r:id="rId2"/>
    <sheet name="Cell counts" sheetId="3" r:id="rId3"/>
    <sheet name="Plate map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D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tc={73AA7949-F45B-4314-9D51-0B2B9B534EFB}</author>
  </authors>
  <commentList>
    <comment ref="M1" authorId="0" shapeId="0" xr:uid="{73AA7949-F45B-4314-9D51-0B2B9B534EFB}">
      <text>
        <t>[Threaded comment]
Your version of Excel allows you to read this threaded comment; however, any edits to it will get removed if the file is opened in a newer version of Excel. Learn more: https://go.microsoft.com/fwlink/?linkid=870924
Comment:
    Mckenna out sick 11/16/23 so had to restart some of the seeding steps.</t>
      </text>
    </comment>
  </commentList>
</comments>
</file>

<file path=xl/sharedStrings.xml><?xml version="1.0" encoding="utf-8"?>
<sst xmlns="http://schemas.openxmlformats.org/spreadsheetml/2006/main" count="394" uniqueCount="219">
  <si>
    <t>Cell Line</t>
  </si>
  <si>
    <t>Type</t>
  </si>
  <si>
    <t>D17</t>
  </si>
  <si>
    <t>Osteosarcoma</t>
  </si>
  <si>
    <t>Thawed, 3/14/22, p37, 125000</t>
  </si>
  <si>
    <t>50% change</t>
  </si>
  <si>
    <t>Trypsin'd, 1,800,000, seeded 1 million</t>
  </si>
  <si>
    <t xml:space="preserve">not quite at 80% </t>
  </si>
  <si>
    <t>Overshot, trypsin'd, seeded 1 million</t>
  </si>
  <si>
    <t>80% confluent, 100% media change, started 24 hrs.</t>
  </si>
  <si>
    <t>Harvested TCM, 5,000,000 cells.</t>
  </si>
  <si>
    <t>Thawed p37 3/14/22</t>
  </si>
  <si>
    <t>Typsin'd, seeded 1 million</t>
  </si>
  <si>
    <t>Harvested TCM, 4,900,000 cells.</t>
  </si>
  <si>
    <t>Abrams</t>
  </si>
  <si>
    <t>Thawed, 5/11/22, p47, 87500</t>
  </si>
  <si>
    <t>80% confluent, 100% media change, started 24 hrs. (In retrospect was closer to 90-100% confluent)</t>
  </si>
  <si>
    <t>Very overgrown, media totally yellow. Harvested 25,000,000, reseeded 1 million</t>
  </si>
  <si>
    <t>Harvested TCM, 11,750,000 cells.</t>
  </si>
  <si>
    <t>Moresco</t>
  </si>
  <si>
    <t>Thawed, 7/27/23, p35, 1,075,000</t>
  </si>
  <si>
    <t>Harvested TCM, 2 hrs late, 27,000,0000</t>
  </si>
  <si>
    <t>Harvested TCM, 11,000,000 cells.</t>
  </si>
  <si>
    <t>Gracie</t>
  </si>
  <si>
    <t>Thawed, 10/9/23, p44, 925000</t>
  </si>
  <si>
    <t>Harvested TCM, 10,500,000 cells.</t>
  </si>
  <si>
    <t>MacKinley</t>
  </si>
  <si>
    <t>Thawed, 3/10/22, p35, 4,600,000</t>
  </si>
  <si>
    <t>Trypsin'd, plated 1 million</t>
  </si>
  <si>
    <t>Harvested TCM, 14,040,000 cells.</t>
  </si>
  <si>
    <t>Yamane</t>
  </si>
  <si>
    <t>Thawed, 5/1/12, no passage, 487,500</t>
  </si>
  <si>
    <t>Trypsin'd, 1,500,000, seeded 1 million</t>
  </si>
  <si>
    <r>
      <t xml:space="preserve">Harvested TCM, 4,500,000 cells. </t>
    </r>
    <r>
      <rPr>
        <sz val="11"/>
        <rFont val="Calibri"/>
        <family val="2"/>
        <scheme val="minor"/>
      </rPr>
      <t>Replated all cells</t>
    </r>
  </si>
  <si>
    <t>Trypsin'd, seeded 1 million</t>
  </si>
  <si>
    <t>Harvested TCM, 4,600,000</t>
  </si>
  <si>
    <t>Vogel</t>
  </si>
  <si>
    <t>Thawed, 5/10/18, p31, 112,500</t>
  </si>
  <si>
    <t>Seems dead.</t>
  </si>
  <si>
    <t>Dead, tossed.</t>
  </si>
  <si>
    <t>Thawed new Vogel in 20% FBS, seeded 346666. No passage, 3/24/15</t>
  </si>
  <si>
    <t>Trypsin'd, seeded 1 million (all cells)</t>
  </si>
  <si>
    <t>Harvested TCM, 7,500,0000</t>
  </si>
  <si>
    <t>OSA8</t>
  </si>
  <si>
    <t>Thawed, 3/10/22, p31, 1125000</t>
  </si>
  <si>
    <t>Trypsin'd, 3,330,000 seeded 1 million</t>
  </si>
  <si>
    <t>Harvested TCM, 2 hrs late, 9,700,000</t>
  </si>
  <si>
    <t>Rethawed cells to restart. Seeded 1600000</t>
  </si>
  <si>
    <t>Harvested TCM, 9,600,000</t>
  </si>
  <si>
    <t>HMPOS</t>
  </si>
  <si>
    <t>Thawed, 3/7/22, p26, 2,300,000</t>
  </si>
  <si>
    <t>Harvested TCM, 9,090,000 cells.</t>
  </si>
  <si>
    <t>OS2.4</t>
  </si>
  <si>
    <t>Thawed, 3/24/22, p41, 387,500</t>
  </si>
  <si>
    <t>Harvested TCM, 4,600,000 cells (possibly repeat?)</t>
  </si>
  <si>
    <t>Thawed new, seeded 240.000. p42, 3/21/22</t>
  </si>
  <si>
    <t>Harvested TCM, 4,900,000</t>
  </si>
  <si>
    <t>17CM98 (wrote 17CM90 on tubes)</t>
  </si>
  <si>
    <t>Melanoma</t>
  </si>
  <si>
    <t>Thawed, 3/30/18, p31, 540,000 cells</t>
  </si>
  <si>
    <t>80% confluent, trypsin'd, 1002150, seeded 1 million</t>
  </si>
  <si>
    <t>Harvested TCM, 21,000,000 cells, going to repeat</t>
  </si>
  <si>
    <t>trypsin'd</t>
  </si>
  <si>
    <t>Harvested TCM, 20,400,000 cells.</t>
  </si>
  <si>
    <t>CML-6M</t>
  </si>
  <si>
    <t>Thawed, 10/11/21, p7. 573,750 cells</t>
  </si>
  <si>
    <t>100% confluent, trypsin'd, 19035000 seeded 1 million</t>
  </si>
  <si>
    <t>Harvested TCM, 4,830,000 cells, going to repeat.</t>
  </si>
  <si>
    <t>Thawed all</t>
  </si>
  <si>
    <t>Harvested TCM, 6,500,000 cells (**probably miscount)</t>
  </si>
  <si>
    <t>Rethawed cells to double check numbers. Seeded  660,000</t>
  </si>
  <si>
    <t>Harvested TCM, 19,900,000 cells.</t>
  </si>
  <si>
    <t>CML-10C2</t>
  </si>
  <si>
    <t>Thawed. 1/23/18, p7. Seeded 2,268,750</t>
  </si>
  <si>
    <t>90% confluent, trypsin'd, 3,220,000, seeded 1 million</t>
  </si>
  <si>
    <t>100% confluent, trypsin'd, 5332500 seeded 1 million</t>
  </si>
  <si>
    <t>Harvested TCM, 12,300,000 cells</t>
  </si>
  <si>
    <t>Jones</t>
  </si>
  <si>
    <t>Thawed. 1.16.18, p6. Seeded 412,500.</t>
  </si>
  <si>
    <t>90% confluent, trypsin'd, 4455000 seeded 1 million</t>
  </si>
  <si>
    <t>Harvested TCM, 9,000,000 cells</t>
  </si>
  <si>
    <t>Parks</t>
  </si>
  <si>
    <t>Thawed. 6/20/13. No passage indicated- suspect p1 after myco tx. Seeded 206,250</t>
  </si>
  <si>
    <t>80% confluent, trypsin'd, 2700000 seeded 1 million</t>
  </si>
  <si>
    <t>Harvested TCM, 7,500,000 cells</t>
  </si>
  <si>
    <t>CMT12</t>
  </si>
  <si>
    <t>Mammary carcinoma</t>
  </si>
  <si>
    <t>Thawed. 5.11.22, p24. Seeded 687,500 cells</t>
  </si>
  <si>
    <t>100% confluent. Trypsin'd- 4.2 million cells. Plated 1 million.</t>
  </si>
  <si>
    <t>Harvested TCM, 13,200,000 cells.</t>
  </si>
  <si>
    <t>CMT27</t>
  </si>
  <si>
    <t>Thawed. 9.14.21, p34. Seeded 343,750 cells.</t>
  </si>
  <si>
    <t>80% confluent. 2 million cells; plated 1 million.</t>
  </si>
  <si>
    <t>Harvested TCM, 10,200,000 cells</t>
  </si>
  <si>
    <t>DEN-HSA/Fitz</t>
  </si>
  <si>
    <t>HSA</t>
  </si>
  <si>
    <t>Thawed. 5.11.22, p32. Seeded 412,500 cells.</t>
  </si>
  <si>
    <t>80% confluent, trypsin'd,  7.2 million cells, plated 1 million.</t>
  </si>
  <si>
    <t>Harvested TCM, 11,400,000  cells</t>
  </si>
  <si>
    <t>Bliley</t>
  </si>
  <si>
    <t>Bladder carcinoma</t>
  </si>
  <si>
    <t>Thawed. 5.19.22, p11. Seeded 68,750.</t>
  </si>
  <si>
    <t>50% change.</t>
  </si>
  <si>
    <t>Looked 80% confluent, trypsin'd, only 750,000 cells, reseeded all.</t>
  </si>
  <si>
    <t>90% confluent, trypsin'd, 1,005,000, seeded 1 million</t>
  </si>
  <si>
    <t xml:space="preserve">Harvested TCM, 8,400,000 cells </t>
  </si>
  <si>
    <t>DH82</t>
  </si>
  <si>
    <t>Histiocytic sarcoma</t>
  </si>
  <si>
    <t>Thawed. 5/19/22, p29. Seeded 68,750 cells.</t>
  </si>
  <si>
    <t>80% confluent, trypsin'd , 1.875 million cells, seeded 1 million.</t>
  </si>
  <si>
    <t xml:space="preserve">100% confluent, trypsin'd, 3,533,333; seeded 1 mill </t>
  </si>
  <si>
    <t>100% confluent, trypsin'd, 6150000, seeded 1 million</t>
  </si>
  <si>
    <t>Harvested TCM, 8,160,000 cells (going to repeat)</t>
  </si>
  <si>
    <t>Thawed frozen back cells, plated all</t>
  </si>
  <si>
    <t xml:space="preserve">Harvested TCM, 7,300,000 cells </t>
  </si>
  <si>
    <t>MH/Nike</t>
  </si>
  <si>
    <t>Thawed. 11/30/21, p44. Seeded 206,250 cells</t>
  </si>
  <si>
    <t>Looking like most died.</t>
  </si>
  <si>
    <t>All cells look dead, threw out flask. Thawed. 11/30/21, p44. Seeded 275000.</t>
  </si>
  <si>
    <t>Cells look dead again.  Thawed a new tube, 3/3/2017, No passage indicated- suspect p1 after myco tx.  911,250 cells</t>
  </si>
  <si>
    <t>80% confluent, trypsin'd, 3375000, seeded 1 million</t>
  </si>
  <si>
    <t>Harvested TCM, 8,400,000 cells</t>
  </si>
  <si>
    <t>trypsin'd (was going to repeat)</t>
  </si>
  <si>
    <t>all dead</t>
  </si>
  <si>
    <t>CTAC</t>
  </si>
  <si>
    <t>Thyroid carcinoma</t>
  </si>
  <si>
    <t>Thawed. 5.18.18, p56. Seeded 962,500.</t>
  </si>
  <si>
    <t>90% confluent. 7.625 million cells. Plated 1 million.</t>
  </si>
  <si>
    <t>100% confluent, trypsin'd, 7.65 million cells, re-plated 1 million cells</t>
  </si>
  <si>
    <t>Harvested TCM, 19,800,000 cells.</t>
  </si>
  <si>
    <t>STSA-1</t>
  </si>
  <si>
    <t>Soft-tissue sarcoma</t>
  </si>
  <si>
    <t>Thawed. 10/20/22, p31. Seeded 68,750 cells</t>
  </si>
  <si>
    <t>50% media change.</t>
  </si>
  <si>
    <t>80% confluent. Trypsin'd, 1,590,000, seeded 1 million</t>
  </si>
  <si>
    <t>Harvested TCM, 12,600,000 cells</t>
  </si>
  <si>
    <t>CLL1390</t>
  </si>
  <si>
    <t>Leukemia</t>
  </si>
  <si>
    <t>Thawed, seeded 400,000, p2 10/13/22</t>
  </si>
  <si>
    <t>Seeded 1 million</t>
  </si>
  <si>
    <t>Seeded 6.5 million, started 24 hrs TCM</t>
  </si>
  <si>
    <t>Harvested TCM, 13,250,000 cells</t>
  </si>
  <si>
    <t>Seeded 5.1 million, started 24 hrs TCM</t>
  </si>
  <si>
    <t>Harvested TCM, 7,200,000 cells</t>
  </si>
  <si>
    <t>CLBL1</t>
  </si>
  <si>
    <t>lymphoma</t>
  </si>
  <si>
    <t>Thawed, seeded 293333, no passage, 2/18/19</t>
  </si>
  <si>
    <t xml:space="preserve">All looked dead, thawed new one, no passage, 3/5/19. </t>
  </si>
  <si>
    <t>Most cells were dead, thawed 8.2.23 no passage</t>
  </si>
  <si>
    <t>Decided not to use bc of repeated cell death in T-150.</t>
  </si>
  <si>
    <t>Thawed, seeded 266666, p2, 2/28/22</t>
  </si>
  <si>
    <t>Seeded 5.25 million, started 24 hrs TCM</t>
  </si>
  <si>
    <t>Harvested TCM, 7,000,000 cells. Reseeded cells</t>
  </si>
  <si>
    <t xml:space="preserve">Harvested TCM, 14,300,000 cells. </t>
  </si>
  <si>
    <t>Harvested TCM, 6,800,000 cells</t>
  </si>
  <si>
    <t>MVB12A status</t>
  </si>
  <si>
    <t>original low</t>
  </si>
  <si>
    <t>leukemia</t>
  </si>
  <si>
    <t>Thawed 10/13/22, no p noted but m/f</t>
  </si>
  <si>
    <t>Refreshed media</t>
  </si>
  <si>
    <t>Trypsin'd, counted 12,750,000 cells, seeded 5.1 milion, started 24 hr TCM.</t>
  </si>
  <si>
    <r>
      <rPr>
        <sz val="11"/>
        <color rgb="FFFF0000"/>
        <rFont val="Calibri"/>
        <family val="2"/>
      </rPr>
      <t xml:space="preserve">Harvested TCM, 56,225,000 cells. </t>
    </r>
    <r>
      <rPr>
        <sz val="11"/>
        <color rgb="FF70AD47"/>
        <rFont val="Calibri"/>
        <family val="2"/>
      </rPr>
      <t>Seeded 5.1 milion, started 24 hr TCM.</t>
    </r>
  </si>
  <si>
    <t>Harvested TCM, 7,140,000 cells</t>
  </si>
  <si>
    <t>Thawed 10/20/22, no p noted but m/f</t>
  </si>
  <si>
    <t>Trypsin'd, counted 9,000,000 cells, seeded 5.1 milion, started 24 hr TCM.</t>
  </si>
  <si>
    <r>
      <rPr>
        <sz val="11"/>
        <color rgb="FFFF0000"/>
        <rFont val="Calibri"/>
        <family val="2"/>
      </rPr>
      <t>Harvested TCM, 23,000,000 cells.</t>
    </r>
    <r>
      <rPr>
        <sz val="11"/>
        <color rgb="FF70AD47"/>
        <rFont val="Calibri"/>
        <family val="2"/>
      </rPr>
      <t xml:space="preserve"> Seeded 5.1 milion, started 24 hr TCM.</t>
    </r>
  </si>
  <si>
    <t>Harvested TCM, 11,970,000 cells</t>
  </si>
  <si>
    <t>Nike</t>
  </si>
  <si>
    <t>original high</t>
  </si>
  <si>
    <t>Histiocytic Sarcoma</t>
  </si>
  <si>
    <t>Thawed 11.21.23, p2</t>
  </si>
  <si>
    <t>Looked dead, thawed Nike p8 6.19.24</t>
  </si>
  <si>
    <t>Refreshed media.</t>
  </si>
  <si>
    <t>Refreshed media. Still not looking great- barely growing.</t>
  </si>
  <si>
    <t>Cells not growing well so split flask Ana had been growing since 10/11/24- which was from my own box, p5 post-myco</t>
  </si>
  <si>
    <t>Trypsin'd, 22,687,500 cells, seeded 1 million</t>
  </si>
  <si>
    <t>Started 24 hr TCM.</t>
  </si>
  <si>
    <t>Harvested TCM, 12,725,000 cells</t>
  </si>
  <si>
    <t>Thawed 111/20/23, p2</t>
  </si>
  <si>
    <t>100% confluent, Trypsin'd, 11,700,000 cells, seeded 1 million</t>
  </si>
  <si>
    <t>Harvested TCM, 5,000,000 cells</t>
  </si>
  <si>
    <t>SB</t>
  </si>
  <si>
    <t>new low</t>
  </si>
  <si>
    <t>Hemangiosarcoma</t>
  </si>
  <si>
    <t>Thawed 8/9/24, p5</t>
  </si>
  <si>
    <t>100% confluent, 16 million cells Trypsin'd, seeded 1 million</t>
  </si>
  <si>
    <t>100% confluent, Trypsin'd, 41,400,000 cells, seeded 1 million</t>
  </si>
  <si>
    <t>Harvested TCM, 20,025,000 cells</t>
  </si>
  <si>
    <t>Angus</t>
  </si>
  <si>
    <t>new high</t>
  </si>
  <si>
    <t>TCC</t>
  </si>
  <si>
    <t>Thawed 6/1/18, p4</t>
  </si>
  <si>
    <t>100% confluent, Trypsin'd, 35,020,000 cells, seeded 1 million</t>
  </si>
  <si>
    <t>Harvested TCM, 14,233,332 cells</t>
  </si>
  <si>
    <t>Tyler1</t>
  </si>
  <si>
    <t>Thawed 12/14/21, p20</t>
  </si>
  <si>
    <t>100% confluent, Trypsin'd, 15,275,000 cells, seeded 1 million</t>
  </si>
  <si>
    <t>Harvested TCM, 14,375,000 cells</t>
  </si>
  <si>
    <t>CPU26</t>
  </si>
  <si>
    <t>SCC met</t>
  </si>
  <si>
    <t>Rupa split and gave me a flask</t>
  </si>
  <si>
    <t xml:space="preserve">100% confluent, Trypsin'd T75 from Rupa, 1,242,222 cells, seeded 1 million </t>
  </si>
  <si>
    <t>Started 24 hr TCM- even though not at 80%</t>
  </si>
  <si>
    <t>Harvested- all cells dead. Did not save TCM.</t>
  </si>
  <si>
    <t>Cindy</t>
  </si>
  <si>
    <t>Since CPU26 is not growing well thawed a new high expressor. 4.2.19, p88. m/f.</t>
  </si>
  <si>
    <t>Trypsin'd, counted 1,000,000, seeded 1,000,000</t>
  </si>
  <si>
    <t>Harvested TCM, 5,408,000 cells</t>
  </si>
  <si>
    <t xml:space="preserve">17CM98 </t>
  </si>
  <si>
    <t>17CM98</t>
  </si>
  <si>
    <t>average of adherents</t>
  </si>
  <si>
    <t>Median of adherents</t>
  </si>
  <si>
    <t>CLL1390 low</t>
  </si>
  <si>
    <t>1771 low</t>
  </si>
  <si>
    <t>CLL 1390 high</t>
  </si>
  <si>
    <t>1771 high</t>
  </si>
  <si>
    <t>Harvested CLL1390 and 1771 twice, went with higher amount of cells</t>
  </si>
  <si>
    <t>plain media</t>
  </si>
  <si>
    <t>General plate map I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</si>
</sst>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70AD47"/>
      <name val="Calibri"/>
      <family val="2"/>
    </font>
    <font>
      <sz val="11"/>
      <color rgb="FF70AD47"/>
      <name val="Calibri"/>
      <family val="2"/>
      <scheme val="minor"/>
    </font>
    <font>
      <sz val="11"/>
      <color rgb="FFFF0000"/>
      <name val="Calibri"/>
      <family val="2"/>
    </font>
    <font>
      <sz val="11"/>
      <color rgb="FF70AD47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9E9E9E"/>
      </left>
      <right/>
      <top/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0" fillId="2" borderId="0" xfId="0" applyFill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dy,Rachel" id="{D40C5108-3116-4DBF-8184-E4CECE5FA034}" userId="S::rvbrady@colostate.edu::d7d2aceb-ca5e-4aea-8f99-7756f6ed01f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3-11-17T18:29:19.76" personId="{D40C5108-3116-4DBF-8184-E4CECE5FA034}" id="{73AA7949-F45B-4314-9D51-0B2B9B534EFB}">
    <text>Mckenna out sick 11/16/23 so had to restart some of the seeding steps.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C3F5-1908-46DD-A7A4-5C428A463C57}">
  <dimension ref="A1:AN27"/>
  <sheetViews>
    <sheetView workbookViewId="0">
      <pane xSplit="1" ySplit="1" topLeftCell="AF24" activePane="bottomRight" state="frozen"/>
      <selection pane="topRight"/>
      <selection pane="bottomLeft"/>
      <selection pane="bottomRight" activeCell="AM26" sqref="AM26"/>
    </sheetView>
  </sheetViews>
  <sheetFormatPr defaultColWidth="16" defaultRowHeight="15" x14ac:dyDescent="0.25"/>
  <cols>
    <col min="1" max="16384" width="16" style="5"/>
  </cols>
  <sheetData>
    <row r="1" spans="1:40" s="1" customFormat="1" x14ac:dyDescent="0.25">
      <c r="A1" s="1" t="s">
        <v>0</v>
      </c>
      <c r="B1" s="1" t="s">
        <v>1</v>
      </c>
      <c r="D1" s="2">
        <v>45237</v>
      </c>
      <c r="E1" s="2">
        <v>45238</v>
      </c>
      <c r="F1" s="2">
        <v>45239</v>
      </c>
      <c r="G1" s="2">
        <v>45240</v>
      </c>
      <c r="H1" s="2">
        <v>45241</v>
      </c>
      <c r="I1" s="2">
        <v>45242</v>
      </c>
      <c r="J1" s="2">
        <v>45243</v>
      </c>
      <c r="K1" s="2">
        <v>45244</v>
      </c>
      <c r="L1" s="2">
        <v>45245</v>
      </c>
      <c r="M1" s="2">
        <v>45246</v>
      </c>
      <c r="N1" s="2">
        <v>45247</v>
      </c>
      <c r="O1" s="2">
        <v>45248</v>
      </c>
      <c r="P1" s="2">
        <v>45249</v>
      </c>
      <c r="Q1" s="2">
        <v>45250</v>
      </c>
      <c r="R1" s="2">
        <v>45251</v>
      </c>
      <c r="S1" s="2">
        <v>45252</v>
      </c>
      <c r="T1" s="2">
        <v>45253</v>
      </c>
      <c r="U1" s="2">
        <v>45254</v>
      </c>
      <c r="V1" s="2">
        <v>45255</v>
      </c>
      <c r="W1" s="2">
        <v>45256</v>
      </c>
      <c r="X1" s="2">
        <v>45257</v>
      </c>
      <c r="Y1" s="2">
        <v>45258</v>
      </c>
      <c r="Z1" s="2">
        <v>45259</v>
      </c>
      <c r="AA1" s="2">
        <v>45260</v>
      </c>
      <c r="AB1" s="2">
        <v>45261</v>
      </c>
      <c r="AC1" s="2">
        <v>45262</v>
      </c>
      <c r="AD1" s="2">
        <v>45263</v>
      </c>
      <c r="AE1" s="2">
        <v>45264</v>
      </c>
      <c r="AF1" s="2">
        <v>45265</v>
      </c>
      <c r="AG1" s="2">
        <v>45266</v>
      </c>
      <c r="AH1" s="2">
        <v>45267</v>
      </c>
      <c r="AI1" s="2">
        <v>45268</v>
      </c>
      <c r="AJ1" s="2">
        <v>45269</v>
      </c>
      <c r="AK1" s="2">
        <v>45270</v>
      </c>
      <c r="AL1" s="2">
        <v>45271</v>
      </c>
      <c r="AM1" s="2">
        <v>45272</v>
      </c>
      <c r="AN1" s="2">
        <v>45273</v>
      </c>
    </row>
    <row r="2" spans="1:40" ht="60" x14ac:dyDescent="0.25">
      <c r="A2" s="3" t="s">
        <v>2</v>
      </c>
      <c r="B2" s="4" t="s">
        <v>3</v>
      </c>
      <c r="C2" s="4"/>
      <c r="Y2" s="5" t="s">
        <v>4</v>
      </c>
      <c r="AB2" s="5" t="s">
        <v>5</v>
      </c>
      <c r="AC2" s="5" t="s">
        <v>6</v>
      </c>
      <c r="AD2" s="5" t="s">
        <v>7</v>
      </c>
      <c r="AE2" s="5" t="s">
        <v>8</v>
      </c>
      <c r="AF2" s="6" t="s">
        <v>9</v>
      </c>
      <c r="AG2" s="8" t="s">
        <v>10</v>
      </c>
      <c r="AI2" s="5" t="s">
        <v>11</v>
      </c>
      <c r="AL2" s="5" t="s">
        <v>12</v>
      </c>
      <c r="AM2" s="6" t="s">
        <v>9</v>
      </c>
      <c r="AN2" s="8" t="s">
        <v>13</v>
      </c>
    </row>
    <row r="3" spans="1:40" ht="105" x14ac:dyDescent="0.25">
      <c r="A3" s="3" t="s">
        <v>14</v>
      </c>
      <c r="B3" s="4" t="s">
        <v>3</v>
      </c>
      <c r="C3" s="4"/>
      <c r="Y3" s="5" t="s">
        <v>15</v>
      </c>
      <c r="AB3" s="5">
        <v>2610000</v>
      </c>
      <c r="AC3" s="6" t="s">
        <v>16</v>
      </c>
      <c r="AD3" s="5" t="s">
        <v>17</v>
      </c>
      <c r="AE3" s="5" t="s">
        <v>8</v>
      </c>
      <c r="AF3" s="6" t="s">
        <v>9</v>
      </c>
      <c r="AG3" s="8" t="s">
        <v>18</v>
      </c>
    </row>
    <row r="4" spans="1:40" ht="60" x14ac:dyDescent="0.25">
      <c r="A4" s="3" t="s">
        <v>19</v>
      </c>
      <c r="B4" s="4" t="s">
        <v>3</v>
      </c>
      <c r="C4" s="4"/>
      <c r="Y4" s="5" t="s">
        <v>20</v>
      </c>
      <c r="AB4" s="5">
        <v>3600000</v>
      </c>
      <c r="AD4" s="6" t="s">
        <v>9</v>
      </c>
      <c r="AE4" s="8" t="s">
        <v>21</v>
      </c>
      <c r="AF4" s="6" t="s">
        <v>9</v>
      </c>
      <c r="AG4" s="8" t="s">
        <v>22</v>
      </c>
    </row>
    <row r="5" spans="1:40" ht="60" x14ac:dyDescent="0.25">
      <c r="A5" s="3" t="s">
        <v>23</v>
      </c>
      <c r="B5" s="4" t="s">
        <v>3</v>
      </c>
      <c r="C5" s="4"/>
      <c r="Y5" s="5" t="s">
        <v>24</v>
      </c>
      <c r="AB5" s="5">
        <v>1215000</v>
      </c>
      <c r="AC5" s="6" t="s">
        <v>9</v>
      </c>
      <c r="AD5" s="8" t="s">
        <v>25</v>
      </c>
    </row>
    <row r="6" spans="1:40" ht="60" x14ac:dyDescent="0.25">
      <c r="A6" s="3" t="s">
        <v>26</v>
      </c>
      <c r="B6" s="4" t="s">
        <v>3</v>
      </c>
      <c r="C6" s="4"/>
      <c r="Y6" s="5" t="s">
        <v>27</v>
      </c>
      <c r="AA6" s="5" t="s">
        <v>28</v>
      </c>
      <c r="AB6" s="6" t="s">
        <v>9</v>
      </c>
      <c r="AC6" s="8" t="s">
        <v>29</v>
      </c>
    </row>
    <row r="7" spans="1:40" ht="60" x14ac:dyDescent="0.25">
      <c r="A7" s="3" t="s">
        <v>30</v>
      </c>
      <c r="B7" s="4" t="s">
        <v>3</v>
      </c>
      <c r="C7" s="4"/>
      <c r="Y7" s="5" t="s">
        <v>31</v>
      </c>
      <c r="AB7" s="5" t="s">
        <v>5</v>
      </c>
      <c r="AC7" s="5" t="s">
        <v>32</v>
      </c>
      <c r="AE7" s="6" t="s">
        <v>9</v>
      </c>
      <c r="AF7" s="8" t="s">
        <v>33</v>
      </c>
      <c r="AG7" s="5" t="s">
        <v>34</v>
      </c>
      <c r="AH7" s="6" t="s">
        <v>9</v>
      </c>
      <c r="AI7" s="8" t="s">
        <v>35</v>
      </c>
    </row>
    <row r="8" spans="1:40" ht="75" x14ac:dyDescent="0.25">
      <c r="A8" s="3" t="s">
        <v>36</v>
      </c>
      <c r="B8" s="4" t="s">
        <v>3</v>
      </c>
      <c r="C8" s="4"/>
      <c r="Y8" s="5" t="s">
        <v>37</v>
      </c>
      <c r="AB8" s="5" t="s">
        <v>5</v>
      </c>
      <c r="AC8" s="5" t="s">
        <v>38</v>
      </c>
      <c r="AD8" s="5" t="s">
        <v>39</v>
      </c>
      <c r="AE8" s="5" t="s">
        <v>40</v>
      </c>
      <c r="AH8" s="5" t="s">
        <v>41</v>
      </c>
      <c r="AK8" s="8" t="s">
        <v>42</v>
      </c>
    </row>
    <row r="9" spans="1:40" ht="60" x14ac:dyDescent="0.25">
      <c r="A9" s="3" t="s">
        <v>43</v>
      </c>
      <c r="B9" s="4" t="s">
        <v>3</v>
      </c>
      <c r="C9" s="4"/>
      <c r="Y9" s="5" t="s">
        <v>44</v>
      </c>
      <c r="AB9" s="5" t="s">
        <v>5</v>
      </c>
      <c r="AC9" s="5" t="s">
        <v>45</v>
      </c>
      <c r="AD9" s="6" t="s">
        <v>9</v>
      </c>
      <c r="AE9" s="8" t="s">
        <v>46</v>
      </c>
      <c r="AF9" s="5" t="s">
        <v>47</v>
      </c>
      <c r="AG9" s="5" t="s">
        <v>34</v>
      </c>
      <c r="AH9" s="6" t="s">
        <v>9</v>
      </c>
      <c r="AI9" s="8" t="s">
        <v>48</v>
      </c>
    </row>
    <row r="10" spans="1:40" ht="60" x14ac:dyDescent="0.25">
      <c r="A10" s="3" t="s">
        <v>49</v>
      </c>
      <c r="B10" s="4" t="s">
        <v>3</v>
      </c>
      <c r="C10" s="4"/>
      <c r="Y10" s="5" t="s">
        <v>50</v>
      </c>
      <c r="AA10" s="5" t="s">
        <v>28</v>
      </c>
      <c r="AB10" s="6" t="s">
        <v>9</v>
      </c>
      <c r="AC10" s="8" t="s">
        <v>51</v>
      </c>
    </row>
    <row r="11" spans="1:40" ht="60" x14ac:dyDescent="0.25">
      <c r="A11" s="3" t="s">
        <v>52</v>
      </c>
      <c r="B11" s="4" t="s">
        <v>3</v>
      </c>
      <c r="C11" s="4"/>
      <c r="Y11" s="5" t="s">
        <v>53</v>
      </c>
      <c r="AB11" s="5">
        <v>1125000</v>
      </c>
      <c r="AC11" s="6" t="s">
        <v>9</v>
      </c>
      <c r="AD11" s="8" t="s">
        <v>54</v>
      </c>
      <c r="AE11" s="5" t="s">
        <v>55</v>
      </c>
      <c r="AH11" s="5" t="s">
        <v>41</v>
      </c>
      <c r="AK11" s="8" t="s">
        <v>56</v>
      </c>
    </row>
    <row r="12" spans="1:40" ht="60" x14ac:dyDescent="0.25">
      <c r="A12" s="3" t="s">
        <v>57</v>
      </c>
      <c r="B12" s="4" t="s">
        <v>58</v>
      </c>
      <c r="C12" s="4">
        <v>4</v>
      </c>
      <c r="N12" s="5" t="s">
        <v>59</v>
      </c>
      <c r="Q12" s="5" t="s">
        <v>5</v>
      </c>
      <c r="R12" s="5" t="s">
        <v>60</v>
      </c>
      <c r="S12" s="6" t="s">
        <v>9</v>
      </c>
      <c r="T12" s="8" t="s">
        <v>61</v>
      </c>
      <c r="X12" s="5" t="s">
        <v>62</v>
      </c>
      <c r="Y12" s="5" t="s">
        <v>28</v>
      </c>
      <c r="Z12" s="6" t="s">
        <v>9</v>
      </c>
      <c r="AA12" s="8" t="s">
        <v>63</v>
      </c>
    </row>
    <row r="13" spans="1:40" ht="60" x14ac:dyDescent="0.25">
      <c r="A13" s="3" t="s">
        <v>64</v>
      </c>
      <c r="B13" s="4" t="s">
        <v>58</v>
      </c>
      <c r="C13" s="4">
        <v>4</v>
      </c>
      <c r="N13" s="5" t="s">
        <v>65</v>
      </c>
      <c r="Q13" s="5" t="s">
        <v>66</v>
      </c>
      <c r="S13" s="6" t="s">
        <v>9</v>
      </c>
      <c r="T13" s="8" t="s">
        <v>67</v>
      </c>
      <c r="X13" s="5" t="s">
        <v>68</v>
      </c>
      <c r="Y13" s="5" t="s">
        <v>28</v>
      </c>
      <c r="Z13" s="6" t="s">
        <v>9</v>
      </c>
      <c r="AA13" s="8" t="s">
        <v>69</v>
      </c>
      <c r="AF13" s="5" t="s">
        <v>70</v>
      </c>
      <c r="AG13" s="5" t="s">
        <v>34</v>
      </c>
      <c r="AH13" s="6" t="s">
        <v>9</v>
      </c>
      <c r="AI13" s="8" t="s">
        <v>71</v>
      </c>
    </row>
    <row r="14" spans="1:40" ht="60" x14ac:dyDescent="0.25">
      <c r="A14" s="3" t="s">
        <v>72</v>
      </c>
      <c r="B14" s="4" t="s">
        <v>58</v>
      </c>
      <c r="C14" s="4">
        <v>3</v>
      </c>
      <c r="K14" s="5" t="s">
        <v>73</v>
      </c>
      <c r="N14" s="5" t="s">
        <v>74</v>
      </c>
      <c r="Q14" s="5" t="s">
        <v>75</v>
      </c>
      <c r="R14" s="6" t="s">
        <v>9</v>
      </c>
      <c r="S14" s="8" t="s">
        <v>76</v>
      </c>
    </row>
    <row r="15" spans="1:40" ht="60" x14ac:dyDescent="0.25">
      <c r="A15" s="3" t="s">
        <v>77</v>
      </c>
      <c r="B15" s="4" t="s">
        <v>58</v>
      </c>
      <c r="C15" s="4">
        <v>3</v>
      </c>
      <c r="K15" s="5" t="s">
        <v>78</v>
      </c>
      <c r="N15" s="5" t="s">
        <v>5</v>
      </c>
      <c r="Q15" s="5" t="s">
        <v>79</v>
      </c>
      <c r="R15" s="6" t="s">
        <v>9</v>
      </c>
      <c r="S15" s="8" t="s">
        <v>80</v>
      </c>
    </row>
    <row r="16" spans="1:40" ht="105" x14ac:dyDescent="0.25">
      <c r="A16" s="3" t="s">
        <v>81</v>
      </c>
      <c r="B16" s="4" t="s">
        <v>58</v>
      </c>
      <c r="C16" s="4">
        <v>3</v>
      </c>
      <c r="K16" s="5" t="s">
        <v>82</v>
      </c>
      <c r="N16" s="5" t="s">
        <v>5</v>
      </c>
      <c r="Q16" s="5" t="s">
        <v>83</v>
      </c>
      <c r="R16" s="6" t="s">
        <v>9</v>
      </c>
      <c r="S16" s="8" t="s">
        <v>84</v>
      </c>
    </row>
    <row r="17" spans="1:39" ht="60" x14ac:dyDescent="0.25">
      <c r="A17" s="7" t="s">
        <v>85</v>
      </c>
      <c r="B17" s="4" t="s">
        <v>86</v>
      </c>
      <c r="C17" s="4">
        <v>1</v>
      </c>
      <c r="D17" s="5" t="s">
        <v>87</v>
      </c>
      <c r="G17" s="5" t="s">
        <v>5</v>
      </c>
      <c r="H17" s="5" t="s">
        <v>88</v>
      </c>
      <c r="J17" s="6" t="s">
        <v>9</v>
      </c>
      <c r="K17" s="8" t="s">
        <v>89</v>
      </c>
    </row>
    <row r="18" spans="1:39" ht="60" x14ac:dyDescent="0.25">
      <c r="A18" s="7" t="s">
        <v>90</v>
      </c>
      <c r="B18" s="4" t="s">
        <v>86</v>
      </c>
      <c r="C18" s="4">
        <v>1</v>
      </c>
      <c r="D18" s="5" t="s">
        <v>91</v>
      </c>
      <c r="G18" s="5" t="s">
        <v>5</v>
      </c>
      <c r="H18" s="5" t="s">
        <v>92</v>
      </c>
      <c r="J18" s="6" t="s">
        <v>9</v>
      </c>
      <c r="K18" s="8" t="s">
        <v>93</v>
      </c>
    </row>
    <row r="19" spans="1:39" ht="60" x14ac:dyDescent="0.25">
      <c r="A19" s="7" t="s">
        <v>94</v>
      </c>
      <c r="B19" s="4" t="s">
        <v>95</v>
      </c>
      <c r="C19" s="4">
        <v>2</v>
      </c>
      <c r="H19" s="5" t="s">
        <v>96</v>
      </c>
      <c r="J19" s="5" t="s">
        <v>97</v>
      </c>
      <c r="K19" s="6" t="s">
        <v>9</v>
      </c>
      <c r="L19" s="8" t="s">
        <v>98</v>
      </c>
      <c r="M19" s="8"/>
    </row>
    <row r="20" spans="1:39" ht="75" x14ac:dyDescent="0.25">
      <c r="A20" s="3" t="s">
        <v>99</v>
      </c>
      <c r="B20" s="4" t="s">
        <v>100</v>
      </c>
      <c r="C20" s="4">
        <v>1</v>
      </c>
      <c r="D20" s="5" t="s">
        <v>101</v>
      </c>
      <c r="G20" s="5" t="s">
        <v>5</v>
      </c>
      <c r="J20" s="5" t="s">
        <v>102</v>
      </c>
      <c r="K20" s="5" t="s">
        <v>103</v>
      </c>
      <c r="N20" s="5" t="s">
        <v>104</v>
      </c>
      <c r="Q20" s="6" t="s">
        <v>9</v>
      </c>
      <c r="R20" s="8" t="s">
        <v>105</v>
      </c>
    </row>
    <row r="21" spans="1:39" ht="75" x14ac:dyDescent="0.25">
      <c r="A21" s="3" t="s">
        <v>106</v>
      </c>
      <c r="B21" s="4" t="s">
        <v>107</v>
      </c>
      <c r="C21" s="4">
        <v>2</v>
      </c>
      <c r="H21" s="5" t="s">
        <v>108</v>
      </c>
      <c r="K21" s="5" t="s">
        <v>109</v>
      </c>
      <c r="N21" s="5" t="s">
        <v>110</v>
      </c>
      <c r="Q21" s="5" t="s">
        <v>111</v>
      </c>
      <c r="S21" s="6" t="s">
        <v>9</v>
      </c>
      <c r="T21" s="8" t="s">
        <v>112</v>
      </c>
      <c r="X21" s="5" t="s">
        <v>113</v>
      </c>
      <c r="Y21" s="5" t="s">
        <v>28</v>
      </c>
      <c r="AB21" s="6" t="s">
        <v>9</v>
      </c>
      <c r="AC21" s="8" t="s">
        <v>114</v>
      </c>
    </row>
    <row r="22" spans="1:39" ht="135" x14ac:dyDescent="0.25">
      <c r="A22" s="3" t="s">
        <v>115</v>
      </c>
      <c r="B22" s="4" t="s">
        <v>107</v>
      </c>
      <c r="C22" s="4">
        <v>2</v>
      </c>
      <c r="H22" s="5" t="s">
        <v>116</v>
      </c>
      <c r="J22" s="5" t="s">
        <v>117</v>
      </c>
      <c r="K22" s="5" t="s">
        <v>118</v>
      </c>
      <c r="N22" s="5" t="s">
        <v>119</v>
      </c>
      <c r="Q22" s="5" t="s">
        <v>5</v>
      </c>
      <c r="R22" s="5" t="s">
        <v>120</v>
      </c>
      <c r="S22" s="6" t="s">
        <v>9</v>
      </c>
      <c r="T22" s="8" t="s">
        <v>121</v>
      </c>
      <c r="X22" s="5" t="s">
        <v>122</v>
      </c>
      <c r="Y22" s="5" t="s">
        <v>123</v>
      </c>
    </row>
    <row r="23" spans="1:39" ht="75" x14ac:dyDescent="0.25">
      <c r="A23" s="7" t="s">
        <v>124</v>
      </c>
      <c r="B23" s="4" t="s">
        <v>125</v>
      </c>
      <c r="C23" s="4">
        <v>1</v>
      </c>
      <c r="D23" s="5" t="s">
        <v>126</v>
      </c>
      <c r="G23" s="5" t="s">
        <v>5</v>
      </c>
      <c r="H23" s="5" t="s">
        <v>127</v>
      </c>
      <c r="J23" s="5" t="s">
        <v>128</v>
      </c>
      <c r="K23" s="6" t="s">
        <v>9</v>
      </c>
      <c r="L23" s="8" t="s">
        <v>129</v>
      </c>
      <c r="M23" s="8"/>
    </row>
    <row r="24" spans="1:39" ht="60" x14ac:dyDescent="0.25">
      <c r="A24" s="9" t="s">
        <v>130</v>
      </c>
      <c r="B24" s="10" t="s">
        <v>131</v>
      </c>
      <c r="C24" s="4">
        <v>2</v>
      </c>
      <c r="H24" s="5" t="s">
        <v>132</v>
      </c>
      <c r="K24" s="5" t="s">
        <v>133</v>
      </c>
      <c r="N24" s="5" t="s">
        <v>134</v>
      </c>
      <c r="Q24" s="6" t="s">
        <v>9</v>
      </c>
      <c r="R24" s="8" t="s">
        <v>135</v>
      </c>
    </row>
    <row r="25" spans="1:39" ht="45" x14ac:dyDescent="0.25">
      <c r="A25" s="5" t="s">
        <v>136</v>
      </c>
      <c r="B25" s="5" t="s">
        <v>137</v>
      </c>
      <c r="AE25" s="5" t="s">
        <v>138</v>
      </c>
      <c r="AF25" s="5" t="s">
        <v>139</v>
      </c>
      <c r="AJ25" s="6" t="s">
        <v>140</v>
      </c>
      <c r="AK25" s="8" t="s">
        <v>141</v>
      </c>
      <c r="AL25" s="6" t="s">
        <v>142</v>
      </c>
      <c r="AM25" s="8" t="s">
        <v>143</v>
      </c>
    </row>
    <row r="26" spans="1:39" ht="60" x14ac:dyDescent="0.25">
      <c r="A26" s="5" t="s">
        <v>144</v>
      </c>
      <c r="B26" s="5" t="s">
        <v>145</v>
      </c>
      <c r="AE26" s="5" t="s">
        <v>146</v>
      </c>
      <c r="AF26" s="5" t="s">
        <v>147</v>
      </c>
      <c r="AH26" s="5" t="s">
        <v>139</v>
      </c>
      <c r="AL26" s="11" t="s">
        <v>148</v>
      </c>
      <c r="AM26" s="5" t="s">
        <v>149</v>
      </c>
    </row>
    <row r="27" spans="1:39" ht="45" x14ac:dyDescent="0.25">
      <c r="A27" s="5">
        <v>1771</v>
      </c>
      <c r="B27" s="5" t="s">
        <v>145</v>
      </c>
      <c r="AE27" s="5" t="s">
        <v>150</v>
      </c>
      <c r="AF27" s="5" t="s">
        <v>139</v>
      </c>
      <c r="AH27" s="6" t="s">
        <v>151</v>
      </c>
      <c r="AI27" s="8" t="s">
        <v>152</v>
      </c>
      <c r="AJ27" s="6" t="s">
        <v>140</v>
      </c>
      <c r="AK27" s="8" t="s">
        <v>153</v>
      </c>
      <c r="AL27" s="6" t="s">
        <v>142</v>
      </c>
      <c r="AM27" s="8" t="s">
        <v>154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E6AC-2090-4BFD-945C-0EB01FE9DC2B}">
  <dimension ref="A1:AO27"/>
  <sheetViews>
    <sheetView workbookViewId="0">
      <pane xSplit="1" ySplit="1" topLeftCell="B5" activePane="bottomRight" state="frozen"/>
      <selection pane="topRight"/>
      <selection pane="bottomLeft"/>
      <selection pane="bottomRight" activeCell="Z3" sqref="Z3"/>
    </sheetView>
  </sheetViews>
  <sheetFormatPr defaultColWidth="16" defaultRowHeight="93.75" customHeight="1" x14ac:dyDescent="0.25"/>
  <cols>
    <col min="1" max="2" width="16" style="16"/>
    <col min="3" max="3" width="18.5703125" style="16" customWidth="1"/>
    <col min="4" max="16384" width="16" style="16"/>
  </cols>
  <sheetData>
    <row r="1" spans="1:41" s="13" customFormat="1" ht="93.75" customHeight="1" x14ac:dyDescent="0.25">
      <c r="A1" s="13" t="s">
        <v>0</v>
      </c>
      <c r="B1" s="13" t="s">
        <v>155</v>
      </c>
      <c r="C1" s="13" t="s">
        <v>1</v>
      </c>
      <c r="D1" s="14">
        <v>45567</v>
      </c>
      <c r="E1" s="14">
        <v>45568</v>
      </c>
      <c r="F1" s="14">
        <v>45569</v>
      </c>
      <c r="G1" s="14">
        <v>45570</v>
      </c>
      <c r="H1" s="14">
        <v>45571</v>
      </c>
      <c r="I1" s="14">
        <v>45572</v>
      </c>
      <c r="J1" s="14">
        <v>45573</v>
      </c>
      <c r="K1" s="14">
        <v>45574</v>
      </c>
      <c r="L1" s="14">
        <v>45575</v>
      </c>
      <c r="M1" s="14">
        <v>45576</v>
      </c>
      <c r="N1" s="14">
        <v>45577</v>
      </c>
      <c r="O1" s="14">
        <v>45578</v>
      </c>
      <c r="P1" s="14">
        <v>45579</v>
      </c>
      <c r="Q1" s="14">
        <v>45580</v>
      </c>
      <c r="R1" s="14">
        <v>45581</v>
      </c>
      <c r="S1" s="14">
        <v>45582</v>
      </c>
      <c r="T1" s="14">
        <v>45583</v>
      </c>
      <c r="U1" s="14">
        <v>45584</v>
      </c>
      <c r="V1" s="14">
        <v>45585</v>
      </c>
      <c r="W1" s="14">
        <v>45586</v>
      </c>
      <c r="X1" s="14">
        <v>45587</v>
      </c>
      <c r="Y1" s="14">
        <v>45588</v>
      </c>
      <c r="Z1" s="14">
        <v>45589</v>
      </c>
      <c r="AA1" s="14">
        <v>45590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</row>
    <row r="2" spans="1:41" ht="93.75" customHeight="1" x14ac:dyDescent="0.25">
      <c r="A2" s="15" t="s">
        <v>136</v>
      </c>
      <c r="B2" s="15" t="s">
        <v>156</v>
      </c>
      <c r="C2" s="16" t="s">
        <v>157</v>
      </c>
      <c r="D2" s="17" t="s">
        <v>158</v>
      </c>
      <c r="F2" s="16" t="s">
        <v>159</v>
      </c>
      <c r="H2" s="16" t="s">
        <v>139</v>
      </c>
      <c r="I2" s="16" t="s">
        <v>159</v>
      </c>
      <c r="J2" s="18" t="s">
        <v>160</v>
      </c>
      <c r="K2" s="19" t="s">
        <v>161</v>
      </c>
      <c r="L2" s="20" t="s">
        <v>162</v>
      </c>
      <c r="AG2" s="18"/>
      <c r="AH2" s="20"/>
      <c r="AN2" s="18"/>
      <c r="AO2" s="20"/>
    </row>
    <row r="3" spans="1:41" ht="93.75" customHeight="1" x14ac:dyDescent="0.25">
      <c r="A3" s="15">
        <v>1771</v>
      </c>
      <c r="B3" s="15" t="s">
        <v>156</v>
      </c>
      <c r="C3" s="16" t="s">
        <v>145</v>
      </c>
      <c r="D3" s="17" t="s">
        <v>163</v>
      </c>
      <c r="F3" s="16" t="s">
        <v>159</v>
      </c>
      <c r="H3" s="16" t="s">
        <v>139</v>
      </c>
      <c r="I3" s="16" t="s">
        <v>159</v>
      </c>
      <c r="J3" s="18" t="s">
        <v>164</v>
      </c>
      <c r="K3" s="21" t="s">
        <v>165</v>
      </c>
      <c r="L3" s="20" t="s">
        <v>166</v>
      </c>
      <c r="AD3" s="18"/>
      <c r="AG3" s="18"/>
      <c r="AH3" s="20"/>
    </row>
    <row r="4" spans="1:41" ht="93.75" customHeight="1" x14ac:dyDescent="0.25">
      <c r="A4" s="22" t="s">
        <v>167</v>
      </c>
      <c r="B4" s="22" t="s">
        <v>168</v>
      </c>
      <c r="C4" s="16" t="s">
        <v>169</v>
      </c>
      <c r="D4" s="17" t="s">
        <v>170</v>
      </c>
      <c r="F4" s="16" t="s">
        <v>159</v>
      </c>
      <c r="I4" s="16" t="s">
        <v>171</v>
      </c>
      <c r="K4" s="16" t="s">
        <v>172</v>
      </c>
      <c r="P4" s="16" t="s">
        <v>173</v>
      </c>
      <c r="S4" s="37" t="s">
        <v>174</v>
      </c>
      <c r="W4" s="42" t="s">
        <v>172</v>
      </c>
      <c r="X4" s="34" t="s">
        <v>175</v>
      </c>
      <c r="Z4" s="36" t="s">
        <v>176</v>
      </c>
      <c r="AA4" s="20" t="s">
        <v>177</v>
      </c>
      <c r="AE4" s="18"/>
      <c r="AF4" s="20"/>
      <c r="AG4" s="18"/>
      <c r="AH4" s="20"/>
    </row>
    <row r="5" spans="1:41" ht="93.75" customHeight="1" x14ac:dyDescent="0.25">
      <c r="A5" s="23" t="s">
        <v>81</v>
      </c>
      <c r="B5" s="24" t="s">
        <v>168</v>
      </c>
      <c r="C5" s="17" t="s">
        <v>58</v>
      </c>
      <c r="D5" s="17" t="s">
        <v>178</v>
      </c>
      <c r="F5" s="16" t="s">
        <v>159</v>
      </c>
      <c r="I5" s="16" t="s">
        <v>159</v>
      </c>
      <c r="J5" s="16" t="s">
        <v>179</v>
      </c>
      <c r="L5" s="25" t="s">
        <v>176</v>
      </c>
      <c r="M5" s="20" t="s">
        <v>180</v>
      </c>
      <c r="AD5" s="18"/>
      <c r="AE5" s="20"/>
    </row>
    <row r="6" spans="1:41" ht="93.75" customHeight="1" x14ac:dyDescent="0.25">
      <c r="A6" s="26" t="s">
        <v>181</v>
      </c>
      <c r="B6" s="27" t="s">
        <v>182</v>
      </c>
      <c r="C6" s="17" t="s">
        <v>183</v>
      </c>
      <c r="D6" s="17" t="s">
        <v>184</v>
      </c>
      <c r="F6" s="16" t="s">
        <v>185</v>
      </c>
      <c r="I6" s="16" t="s">
        <v>159</v>
      </c>
      <c r="J6" s="28" t="s">
        <v>186</v>
      </c>
      <c r="L6" s="35" t="s">
        <v>176</v>
      </c>
      <c r="M6" s="20" t="s">
        <v>187</v>
      </c>
      <c r="AC6" s="18"/>
      <c r="AD6" s="20"/>
    </row>
    <row r="7" spans="1:41" ht="93.75" customHeight="1" x14ac:dyDescent="0.25">
      <c r="A7" s="29" t="s">
        <v>188</v>
      </c>
      <c r="B7" s="30" t="s">
        <v>189</v>
      </c>
      <c r="C7" s="17" t="s">
        <v>190</v>
      </c>
      <c r="D7" s="17" t="s">
        <v>191</v>
      </c>
      <c r="F7" s="16" t="s">
        <v>159</v>
      </c>
      <c r="I7" s="16" t="s">
        <v>159</v>
      </c>
      <c r="J7" s="28" t="s">
        <v>192</v>
      </c>
      <c r="K7" s="36"/>
      <c r="Q7" s="36" t="s">
        <v>176</v>
      </c>
      <c r="R7" s="20" t="s">
        <v>193</v>
      </c>
      <c r="AF7" s="18"/>
      <c r="AG7" s="20"/>
      <c r="AI7" s="18"/>
      <c r="AJ7" s="20"/>
    </row>
    <row r="8" spans="1:41" ht="93.75" customHeight="1" x14ac:dyDescent="0.25">
      <c r="A8" s="26" t="s">
        <v>194</v>
      </c>
      <c r="B8" s="27" t="s">
        <v>182</v>
      </c>
      <c r="C8" s="17" t="s">
        <v>190</v>
      </c>
      <c r="D8" s="17" t="s">
        <v>195</v>
      </c>
      <c r="F8" s="16" t="s">
        <v>159</v>
      </c>
      <c r="I8" s="16" t="s">
        <v>159</v>
      </c>
      <c r="J8" s="28" t="s">
        <v>196</v>
      </c>
      <c r="L8" s="36" t="s">
        <v>176</v>
      </c>
      <c r="M8" s="20" t="s">
        <v>197</v>
      </c>
      <c r="AL8" s="20"/>
    </row>
    <row r="9" spans="1:41" ht="93.75" customHeight="1" x14ac:dyDescent="0.25">
      <c r="A9" s="29" t="s">
        <v>198</v>
      </c>
      <c r="B9" s="30" t="s">
        <v>189</v>
      </c>
      <c r="C9" s="17" t="s">
        <v>199</v>
      </c>
      <c r="D9" s="17"/>
      <c r="F9" s="16" t="s">
        <v>200</v>
      </c>
      <c r="I9" s="16" t="s">
        <v>159</v>
      </c>
      <c r="J9" s="28" t="s">
        <v>201</v>
      </c>
      <c r="K9" s="16" t="s">
        <v>172</v>
      </c>
      <c r="P9" s="16" t="s">
        <v>172</v>
      </c>
      <c r="T9" s="16" t="s">
        <v>172</v>
      </c>
      <c r="W9" s="16" t="s">
        <v>172</v>
      </c>
      <c r="Z9" s="38" t="s">
        <v>202</v>
      </c>
      <c r="AA9" s="39" t="s">
        <v>203</v>
      </c>
      <c r="AE9" s="18"/>
      <c r="AF9" s="20"/>
      <c r="AI9" s="18"/>
      <c r="AJ9" s="20"/>
    </row>
    <row r="10" spans="1:41" ht="93.75" customHeight="1" x14ac:dyDescent="0.25">
      <c r="A10" s="29" t="s">
        <v>204</v>
      </c>
      <c r="B10" s="30" t="s">
        <v>189</v>
      </c>
      <c r="C10" s="17" t="s">
        <v>183</v>
      </c>
      <c r="D10" s="17"/>
      <c r="W10" s="16" t="s">
        <v>205</v>
      </c>
      <c r="X10" s="16" t="s">
        <v>206</v>
      </c>
      <c r="Y10" s="36" t="s">
        <v>176</v>
      </c>
      <c r="Z10" s="20" t="s">
        <v>207</v>
      </c>
      <c r="AC10" s="18"/>
      <c r="AD10" s="20"/>
    </row>
    <row r="11" spans="1:41" ht="93.75" customHeight="1" x14ac:dyDescent="0.25">
      <c r="A11" s="31"/>
      <c r="B11" s="17"/>
      <c r="C11" s="17"/>
      <c r="D11" s="17"/>
      <c r="AD11" s="18"/>
      <c r="AE11" s="20"/>
      <c r="AL11" s="20"/>
    </row>
    <row r="12" spans="1:41" ht="93.75" customHeight="1" x14ac:dyDescent="0.25">
      <c r="A12" s="31"/>
      <c r="B12" s="17"/>
      <c r="C12" s="17"/>
      <c r="D12" s="17"/>
      <c r="T12" s="18"/>
      <c r="U12" s="20"/>
      <c r="AA12" s="18"/>
      <c r="AB12" s="20"/>
    </row>
    <row r="13" spans="1:41" ht="93.75" customHeight="1" x14ac:dyDescent="0.25">
      <c r="A13" s="31"/>
      <c r="B13" s="17"/>
      <c r="C13" s="17"/>
      <c r="D13" s="17"/>
      <c r="T13" s="18"/>
      <c r="U13" s="20"/>
      <c r="AA13" s="18"/>
      <c r="AB13" s="20"/>
      <c r="AI13" s="18"/>
      <c r="AJ13" s="20"/>
    </row>
    <row r="14" spans="1:41" ht="93.75" customHeight="1" x14ac:dyDescent="0.25">
      <c r="A14" s="31"/>
      <c r="B14" s="17"/>
      <c r="C14" s="17"/>
      <c r="D14" s="17"/>
      <c r="S14" s="18"/>
      <c r="T14" s="20"/>
    </row>
    <row r="15" spans="1:41" ht="93.75" customHeight="1" x14ac:dyDescent="0.25">
      <c r="A15" s="31"/>
      <c r="B15" s="17"/>
      <c r="C15" s="17"/>
      <c r="D15" s="17"/>
      <c r="S15" s="18"/>
      <c r="T15" s="20"/>
    </row>
    <row r="16" spans="1:41" ht="93.75" customHeight="1" x14ac:dyDescent="0.25">
      <c r="A16" s="31"/>
      <c r="B16" s="17"/>
      <c r="C16" s="17"/>
      <c r="D16" s="17"/>
      <c r="S16" s="18"/>
      <c r="T16" s="20"/>
    </row>
    <row r="17" spans="1:40" ht="93.75" customHeight="1" x14ac:dyDescent="0.25">
      <c r="A17" s="31"/>
      <c r="B17" s="17"/>
      <c r="C17" s="17"/>
      <c r="D17" s="17"/>
      <c r="K17" s="18"/>
      <c r="L17" s="20"/>
    </row>
    <row r="18" spans="1:40" ht="93.75" customHeight="1" x14ac:dyDescent="0.25">
      <c r="A18" s="31"/>
      <c r="B18" s="17"/>
      <c r="C18" s="17"/>
      <c r="D18" s="17"/>
      <c r="K18" s="18"/>
      <c r="L18" s="20"/>
    </row>
    <row r="19" spans="1:40" ht="93.75" customHeight="1" x14ac:dyDescent="0.25">
      <c r="A19" s="31"/>
      <c r="B19" s="17"/>
      <c r="C19" s="17"/>
      <c r="D19" s="17"/>
      <c r="L19" s="18"/>
      <c r="M19" s="20"/>
      <c r="N19" s="20"/>
    </row>
    <row r="20" spans="1:40" ht="93.75" customHeight="1" x14ac:dyDescent="0.25">
      <c r="A20" s="31"/>
      <c r="B20" s="17"/>
      <c r="C20" s="17"/>
      <c r="D20" s="17"/>
      <c r="R20" s="18"/>
      <c r="S20" s="20"/>
    </row>
    <row r="21" spans="1:40" ht="93.75" customHeight="1" x14ac:dyDescent="0.25">
      <c r="A21" s="31"/>
      <c r="B21" s="17"/>
      <c r="C21" s="17"/>
      <c r="D21" s="17"/>
      <c r="T21" s="18"/>
      <c r="U21" s="20"/>
      <c r="AC21" s="18"/>
      <c r="AD21" s="20"/>
    </row>
    <row r="22" spans="1:40" ht="93.75" customHeight="1" x14ac:dyDescent="0.25">
      <c r="A22" s="31"/>
      <c r="B22" s="17"/>
      <c r="C22" s="17"/>
      <c r="D22" s="17"/>
      <c r="T22" s="18"/>
      <c r="U22" s="20"/>
    </row>
    <row r="23" spans="1:40" ht="93.75" customHeight="1" x14ac:dyDescent="0.25">
      <c r="A23" s="31"/>
      <c r="B23" s="17"/>
      <c r="C23" s="17"/>
      <c r="D23" s="17"/>
      <c r="L23" s="18"/>
      <c r="M23" s="20"/>
      <c r="N23" s="20"/>
    </row>
    <row r="24" spans="1:40" ht="93.75" customHeight="1" x14ac:dyDescent="0.25">
      <c r="A24" s="32"/>
      <c r="B24" s="33"/>
      <c r="C24" s="33"/>
      <c r="D24" s="17"/>
      <c r="R24" s="18"/>
      <c r="S24" s="20"/>
    </row>
    <row r="25" spans="1:40" ht="93.75" customHeight="1" x14ac:dyDescent="0.25">
      <c r="AK25" s="18"/>
      <c r="AL25" s="20"/>
      <c r="AM25" s="18"/>
      <c r="AN25" s="20"/>
    </row>
    <row r="26" spans="1:40" ht="93.75" customHeight="1" x14ac:dyDescent="0.25">
      <c r="AM26" s="34"/>
    </row>
    <row r="27" spans="1:40" ht="93.75" customHeight="1" x14ac:dyDescent="0.25">
      <c r="AI27" s="18"/>
      <c r="AJ27" s="20"/>
      <c r="AK27" s="18"/>
      <c r="AL27" s="20"/>
      <c r="AM27" s="18"/>
      <c r="AN27" s="20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0843-E5FA-4BF8-965C-E3CEE1EE31E8}">
  <dimension ref="A1:E27"/>
  <sheetViews>
    <sheetView tabSelected="1" workbookViewId="0">
      <selection activeCell="A26" sqref="A26:B27"/>
    </sheetView>
  </sheetViews>
  <sheetFormatPr defaultRowHeight="15" x14ac:dyDescent="0.25"/>
  <cols>
    <col min="1" max="1" width="14.85546875" customWidth="1"/>
  </cols>
  <sheetData>
    <row r="1" spans="1:2" x14ac:dyDescent="0.25">
      <c r="A1" s="3" t="s">
        <v>2</v>
      </c>
      <c r="B1">
        <v>5</v>
      </c>
    </row>
    <row r="2" spans="1:2" x14ac:dyDescent="0.25">
      <c r="A2" s="3" t="s">
        <v>14</v>
      </c>
      <c r="B2">
        <v>11.75</v>
      </c>
    </row>
    <row r="3" spans="1:2" x14ac:dyDescent="0.25">
      <c r="A3" s="3" t="s">
        <v>19</v>
      </c>
      <c r="B3">
        <v>11</v>
      </c>
    </row>
    <row r="4" spans="1:2" x14ac:dyDescent="0.25">
      <c r="A4" s="3" t="s">
        <v>23</v>
      </c>
      <c r="B4">
        <v>10.5</v>
      </c>
    </row>
    <row r="5" spans="1:2" x14ac:dyDescent="0.25">
      <c r="A5" s="3" t="s">
        <v>26</v>
      </c>
      <c r="B5">
        <v>14.04</v>
      </c>
    </row>
    <row r="6" spans="1:2" x14ac:dyDescent="0.25">
      <c r="A6" s="3" t="s">
        <v>30</v>
      </c>
      <c r="B6">
        <v>4.5999999999999996</v>
      </c>
    </row>
    <row r="7" spans="1:2" x14ac:dyDescent="0.25">
      <c r="A7" s="3" t="s">
        <v>36</v>
      </c>
      <c r="B7">
        <v>7.5</v>
      </c>
    </row>
    <row r="8" spans="1:2" x14ac:dyDescent="0.25">
      <c r="A8" s="3" t="s">
        <v>43</v>
      </c>
      <c r="B8">
        <v>9.6</v>
      </c>
    </row>
    <row r="9" spans="1:2" x14ac:dyDescent="0.25">
      <c r="A9" s="3" t="s">
        <v>49</v>
      </c>
      <c r="B9">
        <v>9.09</v>
      </c>
    </row>
    <row r="10" spans="1:2" x14ac:dyDescent="0.25">
      <c r="A10" s="3" t="s">
        <v>52</v>
      </c>
      <c r="B10">
        <v>4.9000000000000004</v>
      </c>
    </row>
    <row r="11" spans="1:2" x14ac:dyDescent="0.25">
      <c r="A11" s="3" t="s">
        <v>209</v>
      </c>
      <c r="B11">
        <v>20.399999999999999</v>
      </c>
    </row>
    <row r="12" spans="1:2" x14ac:dyDescent="0.25">
      <c r="A12" s="3" t="s">
        <v>64</v>
      </c>
      <c r="B12">
        <v>19.09</v>
      </c>
    </row>
    <row r="13" spans="1:2" x14ac:dyDescent="0.25">
      <c r="A13" s="3" t="s">
        <v>72</v>
      </c>
      <c r="B13">
        <v>12.3</v>
      </c>
    </row>
    <row r="14" spans="1:2" x14ac:dyDescent="0.25">
      <c r="A14" s="3" t="s">
        <v>77</v>
      </c>
      <c r="B14">
        <v>9</v>
      </c>
    </row>
    <row r="15" spans="1:2" x14ac:dyDescent="0.25">
      <c r="A15" s="3" t="s">
        <v>81</v>
      </c>
      <c r="B15">
        <v>7.5</v>
      </c>
    </row>
    <row r="16" spans="1:2" x14ac:dyDescent="0.25">
      <c r="A16" s="3" t="s">
        <v>85</v>
      </c>
      <c r="B16">
        <v>13.2</v>
      </c>
    </row>
    <row r="17" spans="1:5" x14ac:dyDescent="0.25">
      <c r="A17" s="3" t="s">
        <v>90</v>
      </c>
      <c r="B17">
        <v>10.199999999999999</v>
      </c>
    </row>
    <row r="18" spans="1:5" x14ac:dyDescent="0.25">
      <c r="A18" s="3" t="s">
        <v>94</v>
      </c>
      <c r="B18">
        <v>11.4</v>
      </c>
    </row>
    <row r="19" spans="1:5" x14ac:dyDescent="0.25">
      <c r="A19" s="3" t="s">
        <v>99</v>
      </c>
      <c r="B19">
        <v>8.4</v>
      </c>
    </row>
    <row r="20" spans="1:5" x14ac:dyDescent="0.25">
      <c r="A20" s="3" t="s">
        <v>106</v>
      </c>
      <c r="B20">
        <v>8.16</v>
      </c>
    </row>
    <row r="21" spans="1:5" x14ac:dyDescent="0.25">
      <c r="A21" s="3" t="s">
        <v>115</v>
      </c>
      <c r="B21">
        <v>8.4</v>
      </c>
    </row>
    <row r="22" spans="1:5" x14ac:dyDescent="0.25">
      <c r="A22" s="3" t="s">
        <v>124</v>
      </c>
      <c r="B22">
        <v>19.8</v>
      </c>
      <c r="D22">
        <f>AVERAGE(B1:B23)</f>
        <v>10.801304347826088</v>
      </c>
      <c r="E22" t="s">
        <v>210</v>
      </c>
    </row>
    <row r="23" spans="1:5" x14ac:dyDescent="0.25">
      <c r="A23" s="9" t="s">
        <v>130</v>
      </c>
      <c r="B23">
        <v>12.6</v>
      </c>
      <c r="D23">
        <f>MEDIAN(B1:B23)</f>
        <v>10.199999999999999</v>
      </c>
      <c r="E23" t="s">
        <v>211</v>
      </c>
    </row>
    <row r="24" spans="1:5" x14ac:dyDescent="0.25">
      <c r="A24" s="5" t="s">
        <v>212</v>
      </c>
      <c r="B24">
        <v>7.2</v>
      </c>
    </row>
    <row r="25" spans="1:5" x14ac:dyDescent="0.25">
      <c r="A25" s="5" t="s">
        <v>213</v>
      </c>
      <c r="B25">
        <v>6.8</v>
      </c>
    </row>
    <row r="26" spans="1:5" x14ac:dyDescent="0.25">
      <c r="A26" s="40" t="s">
        <v>214</v>
      </c>
      <c r="B26" s="41">
        <v>13.25</v>
      </c>
    </row>
    <row r="27" spans="1:5" x14ac:dyDescent="0.25">
      <c r="A27" s="41" t="s">
        <v>215</v>
      </c>
      <c r="B27" s="41">
        <v>14.3</v>
      </c>
      <c r="D27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B068-85D6-4E69-8FE3-0680B72393F0}">
  <dimension ref="A1:M26"/>
  <sheetViews>
    <sheetView workbookViewId="0">
      <selection activeCell="G9" sqref="G9"/>
    </sheetView>
  </sheetViews>
  <sheetFormatPr defaultRowHeight="15" x14ac:dyDescent="0.25"/>
  <cols>
    <col min="11" max="11" width="12.85546875" customWidth="1"/>
  </cols>
  <sheetData>
    <row r="1" spans="1:13" x14ac:dyDescent="0.25">
      <c r="A1" s="3" t="s">
        <v>2</v>
      </c>
    </row>
    <row r="2" spans="1:13" x14ac:dyDescent="0.25">
      <c r="A2" s="12">
        <v>1771</v>
      </c>
    </row>
    <row r="3" spans="1:13" x14ac:dyDescent="0.25">
      <c r="A3" s="3" t="s">
        <v>208</v>
      </c>
      <c r="G3" s="3" t="s">
        <v>2</v>
      </c>
      <c r="H3" s="3" t="s">
        <v>99</v>
      </c>
      <c r="I3" s="3" t="s">
        <v>85</v>
      </c>
      <c r="J3" s="3" t="s">
        <v>106</v>
      </c>
      <c r="K3" s="3" t="s">
        <v>26</v>
      </c>
      <c r="L3" s="3" t="s">
        <v>43</v>
      </c>
      <c r="M3" s="4" t="s">
        <v>36</v>
      </c>
    </row>
    <row r="4" spans="1:13" x14ac:dyDescent="0.25">
      <c r="A4" s="3" t="s">
        <v>14</v>
      </c>
      <c r="G4" s="12">
        <v>1771</v>
      </c>
      <c r="H4" s="12" t="s">
        <v>136</v>
      </c>
      <c r="I4" s="3" t="s">
        <v>90</v>
      </c>
      <c r="J4" s="3" t="s">
        <v>23</v>
      </c>
      <c r="K4" s="3" t="s">
        <v>115</v>
      </c>
      <c r="L4" s="9" t="s">
        <v>81</v>
      </c>
      <c r="M4" s="4" t="s">
        <v>30</v>
      </c>
    </row>
    <row r="5" spans="1:13" ht="30" x14ac:dyDescent="0.25">
      <c r="A5" s="3" t="s">
        <v>99</v>
      </c>
      <c r="G5" s="3" t="s">
        <v>208</v>
      </c>
      <c r="H5" s="3" t="s">
        <v>72</v>
      </c>
      <c r="I5" s="3" t="s">
        <v>124</v>
      </c>
      <c r="J5" s="3" t="s">
        <v>49</v>
      </c>
      <c r="K5" s="3" t="s">
        <v>19</v>
      </c>
      <c r="L5" s="4" t="s">
        <v>130</v>
      </c>
      <c r="M5" s="4" t="s">
        <v>217</v>
      </c>
    </row>
    <row r="6" spans="1:13" ht="30" x14ac:dyDescent="0.25">
      <c r="A6" s="12" t="s">
        <v>144</v>
      </c>
      <c r="G6" s="3" t="s">
        <v>14</v>
      </c>
      <c r="H6" s="3" t="s">
        <v>64</v>
      </c>
      <c r="I6" s="3" t="s">
        <v>94</v>
      </c>
      <c r="J6" s="3" t="s">
        <v>77</v>
      </c>
      <c r="K6" s="3" t="s">
        <v>52</v>
      </c>
    </row>
    <row r="7" spans="1:13" x14ac:dyDescent="0.25">
      <c r="A7" s="12" t="s">
        <v>136</v>
      </c>
    </row>
    <row r="8" spans="1:13" ht="30" x14ac:dyDescent="0.25">
      <c r="A8" s="3" t="s">
        <v>72</v>
      </c>
      <c r="G8" t="s">
        <v>218</v>
      </c>
    </row>
    <row r="9" spans="1:13" x14ac:dyDescent="0.25">
      <c r="A9" s="3" t="s">
        <v>64</v>
      </c>
    </row>
    <row r="10" spans="1:13" x14ac:dyDescent="0.25">
      <c r="A10" s="7" t="s">
        <v>85</v>
      </c>
    </row>
    <row r="11" spans="1:13" x14ac:dyDescent="0.25">
      <c r="A11" s="7" t="s">
        <v>90</v>
      </c>
    </row>
    <row r="12" spans="1:13" x14ac:dyDescent="0.25">
      <c r="A12" s="7" t="s">
        <v>124</v>
      </c>
    </row>
    <row r="13" spans="1:13" ht="30" x14ac:dyDescent="0.25">
      <c r="A13" s="7" t="s">
        <v>94</v>
      </c>
    </row>
    <row r="14" spans="1:13" x14ac:dyDescent="0.25">
      <c r="A14" s="3" t="s">
        <v>106</v>
      </c>
    </row>
    <row r="15" spans="1:13" x14ac:dyDescent="0.25">
      <c r="A15" s="3" t="s">
        <v>23</v>
      </c>
    </row>
    <row r="16" spans="1:13" x14ac:dyDescent="0.25">
      <c r="A16" s="3" t="s">
        <v>49</v>
      </c>
    </row>
    <row r="17" spans="1:1" x14ac:dyDescent="0.25">
      <c r="A17" s="3" t="s">
        <v>77</v>
      </c>
    </row>
    <row r="18" spans="1:1" ht="30" x14ac:dyDescent="0.25">
      <c r="A18" s="3" t="s">
        <v>26</v>
      </c>
    </row>
    <row r="19" spans="1:1" x14ac:dyDescent="0.25">
      <c r="A19" s="3" t="s">
        <v>115</v>
      </c>
    </row>
    <row r="20" spans="1:1" x14ac:dyDescent="0.25">
      <c r="A20" s="3" t="s">
        <v>19</v>
      </c>
    </row>
    <row r="21" spans="1:1" x14ac:dyDescent="0.25">
      <c r="A21" s="3" t="s">
        <v>52</v>
      </c>
    </row>
    <row r="22" spans="1:1" x14ac:dyDescent="0.25">
      <c r="A22" s="3" t="s">
        <v>43</v>
      </c>
    </row>
    <row r="23" spans="1:1" x14ac:dyDescent="0.25">
      <c r="A23" s="9" t="s">
        <v>81</v>
      </c>
    </row>
    <row r="24" spans="1:1" x14ac:dyDescent="0.25">
      <c r="A24" s="4" t="s">
        <v>130</v>
      </c>
    </row>
    <row r="25" spans="1:1" x14ac:dyDescent="0.25">
      <c r="A25" s="4" t="s">
        <v>36</v>
      </c>
    </row>
    <row r="26" spans="1:1" x14ac:dyDescent="0.25">
      <c r="A26" s="4" t="s">
        <v>30</v>
      </c>
    </row>
  </sheetData>
  <sortState xmlns:xlrd2="http://schemas.microsoft.com/office/spreadsheetml/2017/richdata2" ref="A2:A26">
    <sortCondition ref="A1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Flowsheet</vt:lpstr>
      <vt:lpstr>Flowsheet (2)</vt:lpstr>
      <vt:lpstr>Cell counts</vt:lpstr>
      <vt:lpstr>Plate 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Brady,Rachel</dc:creator>
  <cp:keywords/>
  <dc:description/>
  <cp:lastModifiedBy>Brady,Rachel</cp:lastModifiedBy>
  <cp:revision/>
  <dcterms:created xsi:type="dcterms:W3CDTF">2023-11-07T16:33:21Z</dcterms:created>
  <dcterms:modified xsi:type="dcterms:W3CDTF">2025-08-26T17:46:18Z</dcterms:modified>
  <cp:category/>
  <cp:contentStatus/>
</cp:coreProperties>
</file>