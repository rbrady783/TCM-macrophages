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dy\OneDrive\Desktop\"/>
    </mc:Choice>
  </mc:AlternateContent>
  <xr:revisionPtr revIDLastSave="0" documentId="13_ncr:1_{A40D0F66-BF31-49B1-9E09-7B6B97D00294}" xr6:coauthVersionLast="47" xr6:coauthVersionMax="47" xr10:uidLastSave="{00000000-0000-0000-0000-000000000000}"/>
  <bookViews>
    <workbookView xWindow="-120" yWindow="-120" windowWidth="19440" windowHeight="11160" activeTab="2" xr2:uid="{050A227D-330C-4031-BCDC-A71BF5EDA4A1}"/>
  </bookViews>
  <sheets>
    <sheet name="Table 1" sheetId="1" r:id="rId1"/>
    <sheet name="Table 2 and 3" sheetId="5" r:id="rId2"/>
    <sheet name="DEG volcano" sheetId="12" r:id="rId3"/>
    <sheet name="Supp Table 1" sheetId="3" r:id="rId4"/>
    <sheet name="all cytos + ctrl" sheetId="4" r:id="rId5"/>
    <sheet name="pairwise groups" sheetId="6" r:id="rId6"/>
    <sheet name="May leave out" sheetId="2" r:id="rId7"/>
  </sheets>
  <definedNames>
    <definedName name="_xlnm._FilterDatabase" localSheetId="0" hidden="1">'Table 1'!$E$1:$E$8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2" i="4"/>
</calcChain>
</file>

<file path=xl/sharedStrings.xml><?xml version="1.0" encoding="utf-8"?>
<sst xmlns="http://schemas.openxmlformats.org/spreadsheetml/2006/main" count="1035" uniqueCount="157">
  <si>
    <t>Analyte</t>
  </si>
  <si>
    <t>VEGF</t>
  </si>
  <si>
    <t>TGF-β</t>
  </si>
  <si>
    <t>CCL2</t>
  </si>
  <si>
    <t>IL-8</t>
  </si>
  <si>
    <t>KC-like</t>
  </si>
  <si>
    <t>TNF-α</t>
  </si>
  <si>
    <t>IL-10</t>
  </si>
  <si>
    <t>GM-CSF</t>
  </si>
  <si>
    <t>IL-2</t>
  </si>
  <si>
    <t>IL-6</t>
  </si>
  <si>
    <t>IL-7</t>
  </si>
  <si>
    <t>IL-15</t>
  </si>
  <si>
    <t>IP-10</t>
  </si>
  <si>
    <t>IL-18</t>
  </si>
  <si>
    <t>Detected Values (%)</t>
  </si>
  <si>
    <t>IFNγ</t>
  </si>
  <si>
    <t>D17</t>
  </si>
  <si>
    <t>Abrams</t>
  </si>
  <si>
    <t>Moresco</t>
  </si>
  <si>
    <t>Gracie</t>
  </si>
  <si>
    <t>MacKinley</t>
  </si>
  <si>
    <t>Yamane</t>
  </si>
  <si>
    <t>Vogel</t>
  </si>
  <si>
    <t>OSA8</t>
  </si>
  <si>
    <t>HMPOS</t>
  </si>
  <si>
    <t>OS2.4</t>
  </si>
  <si>
    <t>CML-6M</t>
  </si>
  <si>
    <t>CML-10C2</t>
  </si>
  <si>
    <t>Jones</t>
  </si>
  <si>
    <t>Parks</t>
  </si>
  <si>
    <t>CMT12</t>
  </si>
  <si>
    <t>CMT27</t>
  </si>
  <si>
    <t>HSA</t>
  </si>
  <si>
    <t>Bliley</t>
  </si>
  <si>
    <t>DH82</t>
  </si>
  <si>
    <t>CTAC</t>
  </si>
  <si>
    <t>STSA-1</t>
  </si>
  <si>
    <t>CLL1390</t>
  </si>
  <si>
    <t>OSA</t>
  </si>
  <si>
    <t xml:space="preserve">17CM98 </t>
  </si>
  <si>
    <t>Mel</t>
  </si>
  <si>
    <t>HS</t>
  </si>
  <si>
    <t>Nike</t>
  </si>
  <si>
    <t>STS</t>
  </si>
  <si>
    <t>Lym</t>
  </si>
  <si>
    <t>TC</t>
  </si>
  <si>
    <t>UC</t>
  </si>
  <si>
    <t>MC</t>
  </si>
  <si>
    <t>DEN</t>
  </si>
  <si>
    <t>Cell Line</t>
  </si>
  <si>
    <t>Histology</t>
  </si>
  <si>
    <t>Cell Count</t>
  </si>
  <si>
    <t>Breed</t>
  </si>
  <si>
    <t>Diagnosis</t>
  </si>
  <si>
    <t>Monocyte Count</t>
  </si>
  <si>
    <t>Sex</t>
  </si>
  <si>
    <t>Mastiff</t>
  </si>
  <si>
    <t>0.1 (L)</t>
  </si>
  <si>
    <t>Great Dane</t>
  </si>
  <si>
    <t>Goldendoodle</t>
  </si>
  <si>
    <t>Age (yrs)</t>
  </si>
  <si>
    <t>Weight (kg)</t>
  </si>
  <si>
    <t>Periosteal osteosarcoma</t>
  </si>
  <si>
    <t>MI</t>
  </si>
  <si>
    <t>Metastatic OSA</t>
  </si>
  <si>
    <t>Multicentric T cell lymphoma</t>
  </si>
  <si>
    <t>cytokine</t>
  </si>
  <si>
    <t>treatment</t>
  </si>
  <si>
    <t>Cytokine</t>
  </si>
  <si>
    <t>17CM98</t>
  </si>
  <si>
    <t>CML-6m</t>
  </si>
  <si>
    <t>Denver</t>
  </si>
  <si>
    <t>Control</t>
  </si>
  <si>
    <t>il.8</t>
  </si>
  <si>
    <t>kc.like</t>
  </si>
  <si>
    <t>il.10</t>
  </si>
  <si>
    <t>vegf</t>
  </si>
  <si>
    <t>ccl2</t>
  </si>
  <si>
    <t>tnf.a</t>
  </si>
  <si>
    <t>tgf.b</t>
  </si>
  <si>
    <t>donor_1_modz</t>
  </si>
  <si>
    <t>donor_2_modz</t>
  </si>
  <si>
    <t>donor_3_modz</t>
  </si>
  <si>
    <t>tnfa</t>
  </si>
  <si>
    <t>tgfb</t>
  </si>
  <si>
    <t>Number of values</t>
  </si>
  <si>
    <t>Minimum</t>
  </si>
  <si>
    <t>25% Percentile</t>
  </si>
  <si>
    <t>Median</t>
  </si>
  <si>
    <t>75% Percentile</t>
  </si>
  <si>
    <t>Maximum</t>
  </si>
  <si>
    <t>Range</t>
  </si>
  <si>
    <t>Min</t>
  </si>
  <si>
    <t>Max</t>
  </si>
  <si>
    <t>ICC</t>
  </si>
  <si>
    <t>p-value</t>
  </si>
  <si>
    <t>&lt;0.001</t>
  </si>
  <si>
    <t>Estimate</t>
  </si>
  <si>
    <t>Std. Error</t>
  </si>
  <si>
    <t>careful of order</t>
  </si>
  <si>
    <t>Mean</t>
  </si>
  <si>
    <t>Std. Deviation</t>
  </si>
  <si>
    <t>Std. Error of Mean</t>
  </si>
  <si>
    <t>impact of donor on cytokine</t>
  </si>
  <si>
    <t>impact of cell count on cytokine?</t>
  </si>
  <si>
    <t>Analyte1</t>
  </si>
  <si>
    <t>Analyte2</t>
  </si>
  <si>
    <t>p_value</t>
  </si>
  <si>
    <t>TNF-Î±</t>
  </si>
  <si>
    <t>TGF-Î²</t>
  </si>
  <si>
    <t>correlation with each other</t>
  </si>
  <si>
    <t>mut</t>
  </si>
  <si>
    <t>method</t>
  </si>
  <si>
    <t>statistic</t>
  </si>
  <si>
    <t>p.value</t>
  </si>
  <si>
    <t>direction</t>
  </si>
  <si>
    <t>NRAS</t>
  </si>
  <si>
    <t>Wilcoxon rank sum test with continuity correction</t>
  </si>
  <si>
    <t>higher in NRAS=1; lower in NRAS=0</t>
  </si>
  <si>
    <t>driver_2</t>
  </si>
  <si>
    <t>higher in driver_2=0; lower in driver_2=1</t>
  </si>
  <si>
    <t>NF1</t>
  </si>
  <si>
    <t>higher in NF1=1; lower in NF1=0</t>
  </si>
  <si>
    <t>pAKT</t>
  </si>
  <si>
    <t>Kruskal-Wallis rank sum test</t>
  </si>
  <si>
    <t>highest in pAKT=a; lowest in pAKT=l</t>
  </si>
  <si>
    <t>TGF-b</t>
  </si>
  <si>
    <t>highest in pAKT=l; lowest in pAKT=a</t>
  </si>
  <si>
    <t>mean</t>
  </si>
  <si>
    <t>log2FoldChange</t>
  </si>
  <si>
    <t>padj</t>
  </si>
  <si>
    <t>EWSR1</t>
  </si>
  <si>
    <t>CXCL8</t>
  </si>
  <si>
    <t>VSIG4</t>
  </si>
  <si>
    <t>NOD1</t>
  </si>
  <si>
    <t>CRYBG2</t>
  </si>
  <si>
    <t>ADAMTS6</t>
  </si>
  <si>
    <t>MTFR2</t>
  </si>
  <si>
    <t>Gene</t>
  </si>
  <si>
    <t>Comment</t>
  </si>
  <si>
    <t>Ref</t>
  </si>
  <si>
    <t>Pan, 2022</t>
  </si>
  <si>
    <t>Zhang, 2024</t>
  </si>
  <si>
    <t>Cain, 2016</t>
  </si>
  <si>
    <t>Activation results in T-cell mediated anti-tumor immunity</t>
  </si>
  <si>
    <t>Known to dismantle focal adhesions and cell-to-cell junctions</t>
  </si>
  <si>
    <t>Promotes exosome-mediated macrophage immunosuppressive polarization </t>
  </si>
  <si>
    <t xml:space="preserve">Overexpression of similar proteins have been linked to increased cellular motility and invasiveness </t>
  </si>
  <si>
    <t>Harris 2023, Ray 1997</t>
  </si>
  <si>
    <t>Inhibits pro-inflammatory macrophage activation</t>
  </si>
  <si>
    <t>Li, 2017</t>
  </si>
  <si>
    <t>TNF-a</t>
  </si>
  <si>
    <t>Hosono, 2017</t>
  </si>
  <si>
    <t>TAM-derived CXCL8 promotes tumor migration and invasion</t>
  </si>
  <si>
    <t>Lu, 2020, Huang 2022</t>
  </si>
  <si>
    <t>Upregulation promotes tumor growth, migration and invasion, correlates with immune infiltrates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</si>
</sst>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71" formatCode="0.0000"/>
  </numFmts>
  <fonts count="2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rgb="FF000000"/>
      <name val="Calibri Light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i/>
      <sz val="11"/>
      <color rgb="FF000000"/>
      <name val="Aptos Narrow"/>
      <family val="2"/>
    </font>
    <font>
      <sz val="10"/>
      <color rgb="FF000000"/>
      <name val="Arial Narrow"/>
      <family val="2"/>
    </font>
    <font>
      <sz val="8"/>
      <name val="Aptos Narrow"/>
      <family val="2"/>
      <scheme val="minor"/>
    </font>
    <font>
      <sz val="10"/>
      <color rgb="FFFFFFFF"/>
      <name val="Calibri"/>
      <family val="2"/>
    </font>
    <font>
      <sz val="10"/>
      <color rgb="FFFF0000"/>
      <name val="Arial"/>
      <family val="2"/>
    </font>
    <font>
      <b/>
      <sz val="11"/>
      <name val="Aptos Narrow"/>
      <family val="2"/>
    </font>
    <font>
      <sz val="11"/>
      <name val="Aptos Narrow"/>
      <family val="2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Calibri"/>
      <family val="2"/>
    </font>
    <font>
      <b/>
      <i/>
      <sz val="11"/>
      <color theme="1"/>
      <name val="Aptos Narrow"/>
      <family val="2"/>
      <scheme val="minor"/>
    </font>
    <font>
      <b/>
      <i/>
      <sz val="11"/>
      <color theme="1"/>
      <name val="Calibri"/>
      <family val="2"/>
    </font>
    <font>
      <sz val="11"/>
      <color rgb="FF212121"/>
      <name val="Calibri"/>
      <family val="2"/>
    </font>
    <font>
      <sz val="11"/>
      <color theme="9"/>
      <name val="Aptos Narrow"/>
      <family val="2"/>
      <scheme val="minor"/>
    </font>
    <font>
      <sz val="11"/>
      <color rgb="FF1B1B1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C"/>
        <bgColor rgb="FF000000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00FF00"/>
      </right>
      <top/>
      <bottom style="thin">
        <color rgb="FF00FF00"/>
      </bottom>
      <diagonal/>
    </border>
    <border>
      <left/>
      <right style="thin">
        <color rgb="FF00FF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wrapText="1"/>
    </xf>
    <xf numFmtId="10" fontId="0" fillId="0" borderId="0" xfId="0" applyNumberFormat="1" applyAlignment="1">
      <alignment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7" fillId="2" borderId="1" xfId="0" applyFont="1" applyFill="1" applyBorder="1" applyAlignment="1">
      <alignment vertical="top" wrapText="1" readingOrder="1"/>
    </xf>
    <xf numFmtId="0" fontId="7" fillId="2" borderId="1" xfId="0" applyFont="1" applyFill="1" applyBorder="1" applyAlignment="1">
      <alignment horizontal="left" vertical="top" wrapText="1" readingOrder="1"/>
    </xf>
    <xf numFmtId="0" fontId="7" fillId="2" borderId="2" xfId="0" applyFont="1" applyFill="1" applyBorder="1" applyAlignment="1">
      <alignment vertical="top" wrapText="1" readingOrder="1"/>
    </xf>
    <xf numFmtId="0" fontId="2" fillId="0" borderId="0" xfId="0" applyFont="1"/>
    <xf numFmtId="164" fontId="2" fillId="0" borderId="0" xfId="0" applyNumberFormat="1" applyFont="1"/>
    <xf numFmtId="0" fontId="6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2" fontId="12" fillId="0" borderId="3" xfId="0" applyNumberFormat="1" applyFont="1" applyBorder="1" applyAlignment="1">
      <alignment horizontal="center" vertical="center" wrapText="1"/>
    </xf>
    <xf numFmtId="2" fontId="13" fillId="0" borderId="3" xfId="0" applyNumberFormat="1" applyFont="1" applyBorder="1" applyAlignment="1">
      <alignment horizontal="center" vertical="center" wrapText="1"/>
    </xf>
    <xf numFmtId="164" fontId="0" fillId="0" borderId="0" xfId="0" applyNumberFormat="1" applyAlignment="1">
      <alignment wrapText="1"/>
    </xf>
    <xf numFmtId="164" fontId="2" fillId="0" borderId="0" xfId="0" applyNumberFormat="1" applyFont="1" applyAlignment="1">
      <alignment horizontal="left"/>
    </xf>
    <xf numFmtId="164" fontId="0" fillId="0" borderId="0" xfId="0" applyNumberForma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0" fillId="0" borderId="0" xfId="0" applyFont="1"/>
    <xf numFmtId="171" fontId="2" fillId="0" borderId="3" xfId="0" applyNumberFormat="1" applyFont="1" applyBorder="1"/>
    <xf numFmtId="0" fontId="0" fillId="0" borderId="3" xfId="0" applyFont="1" applyBorder="1" applyAlignment="1">
      <alignment horizontal="center"/>
    </xf>
    <xf numFmtId="164" fontId="0" fillId="0" borderId="3" xfId="0" applyNumberFormat="1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5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171" fontId="0" fillId="0" borderId="3" xfId="0" applyNumberFormat="1" applyBorder="1" applyAlignment="1">
      <alignment horizontal="center"/>
    </xf>
    <xf numFmtId="0" fontId="1" fillId="0" borderId="0" xfId="0" applyFont="1"/>
    <xf numFmtId="0" fontId="5" fillId="0" borderId="0" xfId="0" applyFont="1" applyAlignment="1">
      <alignment horizontal="left" vertical="top"/>
    </xf>
    <xf numFmtId="171" fontId="0" fillId="0" borderId="0" xfId="0" applyNumberFormat="1"/>
    <xf numFmtId="0" fontId="0" fillId="0" borderId="0" xfId="0" applyFill="1" applyBorder="1"/>
    <xf numFmtId="0" fontId="7" fillId="3" borderId="0" xfId="0" applyFont="1" applyFill="1" applyBorder="1" applyAlignment="1">
      <alignment vertical="top" wrapText="1" readingOrder="1"/>
    </xf>
    <xf numFmtId="0" fontId="7" fillId="0" borderId="0" xfId="0" applyFont="1" applyFill="1" applyBorder="1" applyAlignment="1">
      <alignment vertical="top" wrapText="1" readingOrder="1"/>
    </xf>
    <xf numFmtId="0" fontId="7" fillId="3" borderId="0" xfId="0" applyFont="1" applyFill="1" applyBorder="1" applyAlignment="1">
      <alignment horizontal="left" vertical="top" wrapText="1" readingOrder="1"/>
    </xf>
    <xf numFmtId="0" fontId="0" fillId="3" borderId="0" xfId="0" applyFill="1"/>
    <xf numFmtId="0" fontId="14" fillId="3" borderId="0" xfId="0" applyFont="1" applyFill="1"/>
    <xf numFmtId="11" fontId="0" fillId="0" borderId="0" xfId="0" applyNumberFormat="1"/>
    <xf numFmtId="0" fontId="0" fillId="0" borderId="0" xfId="0" applyAlignment="1">
      <alignment horizontal="left" vertical="center" indent="1"/>
    </xf>
    <xf numFmtId="11" fontId="0" fillId="0" borderId="0" xfId="0" applyNumberFormat="1" applyAlignment="1">
      <alignment horizontal="left" vertical="center" indent="1"/>
    </xf>
    <xf numFmtId="0" fontId="18" fillId="0" borderId="0" xfId="0" applyFont="1" applyAlignment="1">
      <alignment horizontal="left" vertical="center" indent="1"/>
    </xf>
    <xf numFmtId="0" fontId="20" fillId="0" borderId="0" xfId="0" applyFont="1" applyAlignment="1">
      <alignment horizontal="left" vertical="center" indent="1"/>
    </xf>
    <xf numFmtId="164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64" fontId="19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1" fontId="1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164" fontId="19" fillId="0" borderId="0" xfId="0" applyNumberFormat="1" applyFont="1" applyAlignment="1">
      <alignment horizontal="center"/>
    </xf>
    <xf numFmtId="11" fontId="19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05CA0-9439-4510-BD23-80BE97575A9F}">
  <dimension ref="A1:P21"/>
  <sheetViews>
    <sheetView workbookViewId="0">
      <selection sqref="A1:F8"/>
    </sheetView>
  </sheetViews>
  <sheetFormatPr defaultRowHeight="15" x14ac:dyDescent="0.25"/>
  <cols>
    <col min="1" max="1" width="9.140625" style="1"/>
    <col min="2" max="2" width="12.5703125" style="2" customWidth="1"/>
    <col min="3" max="8" width="9.140625" style="1"/>
    <col min="9" max="15" width="9.140625" style="24"/>
    <col min="17" max="16384" width="9.140625" style="1"/>
  </cols>
  <sheetData>
    <row r="1" spans="1:15" ht="30" x14ac:dyDescent="0.25">
      <c r="A1" s="21" t="s">
        <v>0</v>
      </c>
      <c r="B1" s="21" t="s">
        <v>15</v>
      </c>
      <c r="C1" s="21" t="s">
        <v>89</v>
      </c>
      <c r="D1" s="21" t="s">
        <v>93</v>
      </c>
      <c r="E1" s="21" t="s">
        <v>94</v>
      </c>
      <c r="F1" s="21" t="s">
        <v>92</v>
      </c>
      <c r="I1" s="28" t="s">
        <v>77</v>
      </c>
      <c r="J1" s="28" t="s">
        <v>74</v>
      </c>
      <c r="K1" s="28" t="s">
        <v>75</v>
      </c>
      <c r="L1" s="28" t="s">
        <v>76</v>
      </c>
      <c r="M1" s="28" t="s">
        <v>78</v>
      </c>
      <c r="N1" s="28" t="s">
        <v>85</v>
      </c>
      <c r="O1" s="28" t="s">
        <v>84</v>
      </c>
    </row>
    <row r="2" spans="1:15" x14ac:dyDescent="0.25">
      <c r="A2" s="21" t="s">
        <v>1</v>
      </c>
      <c r="B2" s="22">
        <v>100</v>
      </c>
      <c r="C2" s="30">
        <v>0.89980000000000004</v>
      </c>
      <c r="D2" s="30">
        <v>-0.75660000000000005</v>
      </c>
      <c r="E2" s="30">
        <v>3.484</v>
      </c>
      <c r="F2" s="30">
        <v>4.2409999999999997</v>
      </c>
      <c r="H2" s="27" t="s">
        <v>86</v>
      </c>
      <c r="I2" s="16">
        <v>25</v>
      </c>
      <c r="J2" s="16">
        <v>25</v>
      </c>
      <c r="K2" s="16">
        <v>25</v>
      </c>
      <c r="L2" s="16">
        <v>25</v>
      </c>
      <c r="M2" s="16">
        <v>25</v>
      </c>
      <c r="N2" s="16">
        <v>25</v>
      </c>
      <c r="O2" s="16">
        <v>25</v>
      </c>
    </row>
    <row r="3" spans="1:15" x14ac:dyDescent="0.25">
      <c r="A3" s="21" t="s">
        <v>4</v>
      </c>
      <c r="B3" s="23">
        <v>100</v>
      </c>
      <c r="C3" s="30">
        <v>0.10680000000000001</v>
      </c>
      <c r="D3" s="30">
        <v>-0.79790000000000005</v>
      </c>
      <c r="E3" s="30">
        <v>1.782</v>
      </c>
      <c r="F3" s="30">
        <v>2.58</v>
      </c>
      <c r="H3" s="27"/>
      <c r="I3" s="16"/>
      <c r="J3" s="16"/>
      <c r="K3" s="16"/>
      <c r="L3" s="16"/>
      <c r="M3" s="16"/>
      <c r="N3" s="16"/>
      <c r="O3" s="16"/>
    </row>
    <row r="4" spans="1:15" x14ac:dyDescent="0.25">
      <c r="A4" s="21" t="s">
        <v>5</v>
      </c>
      <c r="B4" s="22">
        <v>100</v>
      </c>
      <c r="C4" s="30">
        <v>-9.2090000000000002E-3</v>
      </c>
      <c r="D4" s="30">
        <v>-1.4630000000000001</v>
      </c>
      <c r="E4" s="30">
        <v>2.4329999999999998</v>
      </c>
      <c r="F4" s="30">
        <v>3.895</v>
      </c>
      <c r="H4" s="27" t="s">
        <v>87</v>
      </c>
      <c r="I4" s="16">
        <v>-0.75660000000000005</v>
      </c>
      <c r="J4" s="16">
        <v>-0.79790000000000005</v>
      </c>
      <c r="K4" s="16">
        <v>-1.4630000000000001</v>
      </c>
      <c r="L4" s="16">
        <v>-0.51039999999999996</v>
      </c>
      <c r="M4" s="16">
        <v>-0.1905</v>
      </c>
      <c r="N4" s="16">
        <v>-1.345</v>
      </c>
      <c r="O4" s="16">
        <v>-0.64149999999999996</v>
      </c>
    </row>
    <row r="5" spans="1:15" x14ac:dyDescent="0.25">
      <c r="A5" s="21" t="s">
        <v>7</v>
      </c>
      <c r="B5" s="22">
        <v>100</v>
      </c>
      <c r="C5" s="30">
        <v>0.4153</v>
      </c>
      <c r="D5" s="30">
        <v>-0.51039999999999996</v>
      </c>
      <c r="E5" s="30">
        <v>39.729999999999997</v>
      </c>
      <c r="F5" s="30">
        <v>40.24</v>
      </c>
      <c r="H5" s="27" t="s">
        <v>88</v>
      </c>
      <c r="I5" s="16">
        <v>-0.42649999999999999</v>
      </c>
      <c r="J5" s="16">
        <v>-0.37140000000000001</v>
      </c>
      <c r="K5" s="16">
        <v>-0.3977</v>
      </c>
      <c r="L5" s="16">
        <v>-0.29299999999999998</v>
      </c>
      <c r="M5" s="16">
        <v>1.213E-2</v>
      </c>
      <c r="N5" s="16">
        <v>-0.44190000000000002</v>
      </c>
      <c r="O5" s="16">
        <v>-0.26850000000000002</v>
      </c>
    </row>
    <row r="6" spans="1:15" x14ac:dyDescent="0.25">
      <c r="A6" s="21" t="s">
        <v>3</v>
      </c>
      <c r="B6" s="22">
        <v>100</v>
      </c>
      <c r="C6" s="30">
        <v>0.14099999999999999</v>
      </c>
      <c r="D6" s="30">
        <v>-0.1905</v>
      </c>
      <c r="E6" s="30">
        <v>0.79100000000000004</v>
      </c>
      <c r="F6" s="30">
        <v>0.98150000000000004</v>
      </c>
      <c r="H6" s="27" t="s">
        <v>89</v>
      </c>
      <c r="I6" s="29">
        <v>0.89980000000000004</v>
      </c>
      <c r="J6" s="29">
        <v>0.10680000000000001</v>
      </c>
      <c r="K6" s="29">
        <v>-9.2090000000000002E-3</v>
      </c>
      <c r="L6" s="29">
        <v>0.4153</v>
      </c>
      <c r="M6" s="29">
        <v>0.14099999999999999</v>
      </c>
      <c r="N6" s="29">
        <v>0.17549999999999999</v>
      </c>
      <c r="O6" s="29">
        <v>0.44019999999999998</v>
      </c>
    </row>
    <row r="7" spans="1:15" x14ac:dyDescent="0.25">
      <c r="A7" s="21" t="s">
        <v>2</v>
      </c>
      <c r="B7" s="22">
        <v>100</v>
      </c>
      <c r="C7" s="30">
        <v>0.17549999999999999</v>
      </c>
      <c r="D7" s="30">
        <v>-1.345</v>
      </c>
      <c r="E7" s="30">
        <v>2.0939999999999999</v>
      </c>
      <c r="F7" s="30">
        <v>3.4380000000000002</v>
      </c>
      <c r="H7" s="27" t="s">
        <v>90</v>
      </c>
      <c r="I7" s="16">
        <v>1.6279999999999999</v>
      </c>
      <c r="J7" s="16">
        <v>0.60150000000000003</v>
      </c>
      <c r="K7" s="16">
        <v>0.3634</v>
      </c>
      <c r="L7" s="16">
        <v>3.1219999999999999</v>
      </c>
      <c r="M7" s="16">
        <v>0.31859999999999999</v>
      </c>
      <c r="N7" s="16">
        <v>0.98929999999999996</v>
      </c>
      <c r="O7" s="16">
        <v>2.6840000000000002</v>
      </c>
    </row>
    <row r="8" spans="1:15" x14ac:dyDescent="0.25">
      <c r="A8" s="21" t="s">
        <v>6</v>
      </c>
      <c r="B8" s="22">
        <v>78</v>
      </c>
      <c r="C8" s="30">
        <v>0.44019999999999998</v>
      </c>
      <c r="D8" s="30">
        <v>-0.64149999999999996</v>
      </c>
      <c r="E8" s="30">
        <v>16.02</v>
      </c>
      <c r="F8" s="30">
        <v>16.66</v>
      </c>
      <c r="H8" s="27" t="s">
        <v>91</v>
      </c>
      <c r="I8" s="16">
        <v>3.484</v>
      </c>
      <c r="J8" s="16">
        <v>1.782</v>
      </c>
      <c r="K8" s="16">
        <v>2.4329999999999998</v>
      </c>
      <c r="L8" s="16">
        <v>39.729999999999997</v>
      </c>
      <c r="M8" s="16">
        <v>0.79100000000000004</v>
      </c>
      <c r="N8" s="16">
        <v>2.0939999999999999</v>
      </c>
      <c r="O8" s="16">
        <v>16.02</v>
      </c>
    </row>
    <row r="9" spans="1:15" x14ac:dyDescent="0.25">
      <c r="A9" s="18" t="s">
        <v>12</v>
      </c>
      <c r="B9" s="18">
        <v>57.3</v>
      </c>
      <c r="C9" s="18"/>
      <c r="D9" s="18"/>
      <c r="E9" s="18"/>
      <c r="F9" s="18"/>
      <c r="H9" s="27" t="s">
        <v>92</v>
      </c>
      <c r="I9" s="16">
        <v>4.2409999999999997</v>
      </c>
      <c r="J9" s="16">
        <v>2.58</v>
      </c>
      <c r="K9" s="16">
        <v>3.895</v>
      </c>
      <c r="L9" s="16">
        <v>40.24</v>
      </c>
      <c r="M9" s="16">
        <v>0.98150000000000004</v>
      </c>
      <c r="N9" s="16">
        <v>3.4380000000000002</v>
      </c>
      <c r="O9" s="16">
        <v>16.66</v>
      </c>
    </row>
    <row r="10" spans="1:15" x14ac:dyDescent="0.25">
      <c r="A10" s="18" t="s">
        <v>11</v>
      </c>
      <c r="B10" s="18">
        <v>46.7</v>
      </c>
      <c r="C10" s="18"/>
      <c r="D10" s="18"/>
      <c r="E10" s="18"/>
      <c r="F10" s="18"/>
      <c r="H10" s="27"/>
      <c r="I10" s="16"/>
      <c r="J10" s="16"/>
      <c r="K10" s="16"/>
      <c r="L10" s="16"/>
      <c r="M10" s="16"/>
      <c r="N10" s="16"/>
      <c r="O10" s="16"/>
    </row>
    <row r="11" spans="1:15" x14ac:dyDescent="0.25">
      <c r="A11" s="18" t="s">
        <v>8</v>
      </c>
      <c r="B11" s="18">
        <v>44</v>
      </c>
      <c r="C11" s="18"/>
      <c r="D11" s="18"/>
      <c r="E11" s="18"/>
      <c r="F11" s="18"/>
      <c r="H11" s="27" t="s">
        <v>101</v>
      </c>
      <c r="I11" s="16">
        <v>0.88119999999999998</v>
      </c>
      <c r="J11" s="16">
        <v>0.12939999999999999</v>
      </c>
      <c r="K11" s="16">
        <v>2.462E-2</v>
      </c>
      <c r="L11" s="16">
        <v>4.4480000000000004</v>
      </c>
      <c r="M11" s="16">
        <v>0.18859999999999999</v>
      </c>
      <c r="N11" s="16">
        <v>0.28960000000000002</v>
      </c>
      <c r="O11" s="16">
        <v>1.9510000000000001</v>
      </c>
    </row>
    <row r="12" spans="1:15" x14ac:dyDescent="0.25">
      <c r="A12" s="18" t="s">
        <v>16</v>
      </c>
      <c r="B12" s="18">
        <v>44</v>
      </c>
      <c r="C12" s="18"/>
      <c r="D12" s="18"/>
      <c r="E12" s="18"/>
      <c r="F12" s="18"/>
      <c r="H12" s="27" t="s">
        <v>102</v>
      </c>
      <c r="I12" s="16">
        <v>1.147</v>
      </c>
      <c r="J12" s="16">
        <v>0.61719999999999997</v>
      </c>
      <c r="K12" s="16">
        <v>0.87239999999999995</v>
      </c>
      <c r="L12" s="16">
        <v>10.89</v>
      </c>
      <c r="M12" s="16">
        <v>0.23930000000000001</v>
      </c>
      <c r="N12" s="16">
        <v>0.90629999999999999</v>
      </c>
      <c r="O12" s="16">
        <v>3.94</v>
      </c>
    </row>
    <row r="13" spans="1:15" x14ac:dyDescent="0.25">
      <c r="A13" s="18" t="s">
        <v>10</v>
      </c>
      <c r="B13" s="18">
        <v>38.700000000000003</v>
      </c>
      <c r="C13" s="18"/>
      <c r="D13" s="18"/>
      <c r="E13" s="18"/>
      <c r="F13" s="18"/>
      <c r="H13" s="27" t="s">
        <v>103</v>
      </c>
      <c r="I13" s="16">
        <v>0.22950000000000001</v>
      </c>
      <c r="J13" s="16">
        <v>0.1234</v>
      </c>
      <c r="K13" s="16">
        <v>0.17449999999999999</v>
      </c>
      <c r="L13" s="16">
        <v>2.1779999999999999</v>
      </c>
      <c r="M13" s="16">
        <v>4.786E-2</v>
      </c>
      <c r="N13" s="16">
        <v>0.18129999999999999</v>
      </c>
      <c r="O13" s="16">
        <v>0.78800000000000003</v>
      </c>
    </row>
    <row r="14" spans="1:15" x14ac:dyDescent="0.25">
      <c r="A14" s="18" t="s">
        <v>9</v>
      </c>
      <c r="B14" s="18">
        <v>12</v>
      </c>
      <c r="C14" s="18"/>
      <c r="D14" s="18"/>
      <c r="E14" s="18"/>
      <c r="F14" s="18"/>
      <c r="H14" s="27"/>
      <c r="I14" s="16"/>
      <c r="J14" s="16"/>
      <c r="K14" s="16"/>
      <c r="L14" s="16"/>
      <c r="M14" s="16"/>
      <c r="N14" s="16"/>
      <c r="O14" s="16"/>
    </row>
    <row r="15" spans="1:15" x14ac:dyDescent="0.25">
      <c r="A15" s="18" t="s">
        <v>13</v>
      </c>
      <c r="B15" s="18">
        <v>0</v>
      </c>
      <c r="C15" s="18"/>
      <c r="D15" s="18"/>
      <c r="E15" s="18"/>
      <c r="F15" s="18"/>
      <c r="I15" s="25"/>
      <c r="J15" s="17"/>
      <c r="K15" s="17"/>
      <c r="L15" s="17"/>
      <c r="M15" s="17"/>
      <c r="N15" s="17"/>
      <c r="O15" s="17"/>
    </row>
    <row r="16" spans="1:15" x14ac:dyDescent="0.25">
      <c r="A16" s="18" t="s">
        <v>14</v>
      </c>
      <c r="B16" s="18">
        <v>0</v>
      </c>
      <c r="C16" s="18"/>
      <c r="D16" s="18"/>
      <c r="E16" s="18"/>
      <c r="F16" s="18"/>
      <c r="I16" s="25"/>
      <c r="J16" s="17"/>
      <c r="K16" s="17"/>
      <c r="L16" s="17"/>
      <c r="M16" s="17"/>
      <c r="N16" s="17"/>
      <c r="O16" s="17"/>
    </row>
    <row r="17" spans="2:15" x14ac:dyDescent="0.25">
      <c r="B17" s="1"/>
      <c r="I17" s="25"/>
    </row>
    <row r="18" spans="2:15" x14ac:dyDescent="0.25">
      <c r="B18" s="1"/>
      <c r="I18" s="25"/>
      <c r="J18" s="17"/>
      <c r="K18" s="17"/>
      <c r="L18" s="17"/>
      <c r="M18" s="17"/>
      <c r="N18" s="17"/>
      <c r="O18" s="17"/>
    </row>
    <row r="19" spans="2:15" x14ac:dyDescent="0.25">
      <c r="B19" s="1"/>
      <c r="J19" s="26"/>
      <c r="K19" s="26"/>
      <c r="L19" s="26"/>
      <c r="M19" s="26"/>
      <c r="N19" s="26"/>
      <c r="O19" s="26"/>
    </row>
    <row r="20" spans="2:15" x14ac:dyDescent="0.25">
      <c r="B20" s="1"/>
    </row>
    <row r="21" spans="2:15" x14ac:dyDescent="0.25">
      <c r="B21" s="1"/>
    </row>
  </sheetData>
  <sortState xmlns:xlrd2="http://schemas.microsoft.com/office/spreadsheetml/2017/richdata2" ref="A2:E15">
    <sortCondition descending="1" ref="E1:E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A481F-9D10-4D8B-911C-7EF2239E9C30}">
  <dimension ref="A1:N23"/>
  <sheetViews>
    <sheetView workbookViewId="0">
      <selection activeCell="E20" sqref="E20"/>
    </sheetView>
  </sheetViews>
  <sheetFormatPr defaultRowHeight="15" x14ac:dyDescent="0.25"/>
  <cols>
    <col min="1" max="3" width="9.140625" style="19"/>
    <col min="6" max="7" width="9.5703125" bestFit="1" customWidth="1"/>
    <col min="8" max="8" width="9.28515625" bestFit="1" customWidth="1"/>
    <col min="12" max="12" width="9.140625" style="41"/>
  </cols>
  <sheetData>
    <row r="1" spans="1:14" x14ac:dyDescent="0.25">
      <c r="A1" s="40" t="s">
        <v>104</v>
      </c>
      <c r="E1" t="s">
        <v>105</v>
      </c>
      <c r="J1" t="s">
        <v>111</v>
      </c>
    </row>
    <row r="2" spans="1:14" x14ac:dyDescent="0.25">
      <c r="A2" s="33" t="s">
        <v>69</v>
      </c>
      <c r="B2" s="34" t="s">
        <v>95</v>
      </c>
      <c r="C2" s="35" t="s">
        <v>96</v>
      </c>
      <c r="E2" s="36" t="s">
        <v>69</v>
      </c>
      <c r="F2" s="34" t="s">
        <v>98</v>
      </c>
      <c r="G2" s="34" t="s">
        <v>99</v>
      </c>
      <c r="H2" s="37" t="s">
        <v>96</v>
      </c>
      <c r="J2" t="s">
        <v>106</v>
      </c>
      <c r="K2" t="s">
        <v>107</v>
      </c>
      <c r="L2" s="41" t="s">
        <v>108</v>
      </c>
    </row>
    <row r="3" spans="1:14" x14ac:dyDescent="0.25">
      <c r="A3" s="33" t="s">
        <v>1</v>
      </c>
      <c r="B3" s="32">
        <v>0.61407103666201301</v>
      </c>
      <c r="C3" s="31" t="s">
        <v>97</v>
      </c>
      <c r="E3" s="36" t="s">
        <v>1</v>
      </c>
      <c r="F3" s="38">
        <v>31.787753143784698</v>
      </c>
      <c r="G3" s="38">
        <v>43.274712510238103</v>
      </c>
      <c r="H3" s="38">
        <v>0.46500000000000002</v>
      </c>
      <c r="J3" t="s">
        <v>1</v>
      </c>
      <c r="K3" t="s">
        <v>4</v>
      </c>
      <c r="L3" s="41">
        <v>0.315</v>
      </c>
    </row>
    <row r="4" spans="1:14" x14ac:dyDescent="0.25">
      <c r="A4" s="33" t="s">
        <v>4</v>
      </c>
      <c r="B4" s="32">
        <v>0.20902711477092101</v>
      </c>
      <c r="C4" s="31" t="s">
        <v>97</v>
      </c>
      <c r="E4" s="36" t="s">
        <v>4</v>
      </c>
      <c r="F4" s="38">
        <v>244.18405991813299</v>
      </c>
      <c r="G4" s="38">
        <v>276.38099598760903</v>
      </c>
      <c r="H4" s="38">
        <v>0.38</v>
      </c>
      <c r="J4" t="s">
        <v>1</v>
      </c>
      <c r="K4" t="s">
        <v>5</v>
      </c>
      <c r="L4" s="41">
        <v>8.5999999999999993E-2</v>
      </c>
    </row>
    <row r="5" spans="1:14" x14ac:dyDescent="0.25">
      <c r="A5" s="33" t="s">
        <v>5</v>
      </c>
      <c r="B5" s="32">
        <v>9.5908960673821694E-2</v>
      </c>
      <c r="C5" s="31">
        <v>5.5E-2</v>
      </c>
      <c r="E5" s="36" t="s">
        <v>5</v>
      </c>
      <c r="F5" s="38">
        <v>-0.15504134932660299</v>
      </c>
      <c r="G5" s="38">
        <v>5.1373722837492304</v>
      </c>
      <c r="H5" s="38">
        <v>0.97599999999999998</v>
      </c>
      <c r="J5" t="s">
        <v>1</v>
      </c>
      <c r="K5" t="s">
        <v>7</v>
      </c>
      <c r="L5" s="41">
        <v>0.79500000000000004</v>
      </c>
    </row>
    <row r="6" spans="1:14" x14ac:dyDescent="0.25">
      <c r="A6" s="33" t="s">
        <v>7</v>
      </c>
      <c r="B6" s="32">
        <v>0.11478077377288699</v>
      </c>
      <c r="C6" s="31">
        <v>2.8000000000000001E-2</v>
      </c>
      <c r="E6" s="36" t="s">
        <v>7</v>
      </c>
      <c r="F6" s="38">
        <v>-45.138625219306299</v>
      </c>
      <c r="G6" s="38">
        <v>88.115617029044699</v>
      </c>
      <c r="H6" s="38">
        <v>0.61</v>
      </c>
      <c r="J6" t="s">
        <v>1</v>
      </c>
      <c r="K6" t="s">
        <v>3</v>
      </c>
      <c r="L6" s="41">
        <v>0.26500000000000001</v>
      </c>
    </row>
    <row r="7" spans="1:14" x14ac:dyDescent="0.25">
      <c r="A7" s="33" t="s">
        <v>3</v>
      </c>
      <c r="B7" s="32">
        <v>0.75400262215204095</v>
      </c>
      <c r="C7" s="31" t="s">
        <v>97</v>
      </c>
      <c r="E7" s="36" t="s">
        <v>3</v>
      </c>
      <c r="F7" s="38">
        <v>1237.7602511456801</v>
      </c>
      <c r="G7" s="38">
        <v>1335.6682325535501</v>
      </c>
      <c r="H7" s="38">
        <v>0.35699999999999998</v>
      </c>
      <c r="J7" t="s">
        <v>1</v>
      </c>
      <c r="K7" t="s">
        <v>109</v>
      </c>
      <c r="L7" s="41">
        <v>0.72299999999999998</v>
      </c>
    </row>
    <row r="8" spans="1:14" x14ac:dyDescent="0.25">
      <c r="A8" s="33" t="s">
        <v>6</v>
      </c>
      <c r="B8" s="32">
        <v>0.182328299595264</v>
      </c>
      <c r="C8" s="31">
        <v>2E-3</v>
      </c>
      <c r="E8" s="36" t="s">
        <v>6</v>
      </c>
      <c r="F8" s="38">
        <v>-3.4721716867837098</v>
      </c>
      <c r="G8" s="38">
        <v>5.2546310408934298</v>
      </c>
      <c r="H8" s="38">
        <v>0.51100000000000001</v>
      </c>
      <c r="J8" t="s">
        <v>1</v>
      </c>
      <c r="K8" t="s">
        <v>110</v>
      </c>
      <c r="L8" s="41">
        <v>9.7000000000000003E-2</v>
      </c>
    </row>
    <row r="9" spans="1:14" x14ac:dyDescent="0.25">
      <c r="A9" s="33" t="s">
        <v>2</v>
      </c>
      <c r="B9" s="32">
        <v>1.96158599115158E-2</v>
      </c>
      <c r="C9" s="31">
        <v>0.60399999999999998</v>
      </c>
      <c r="E9" s="36" t="s">
        <v>2</v>
      </c>
      <c r="F9" s="38">
        <v>-1.80839793833445</v>
      </c>
      <c r="G9" s="38">
        <v>1.0004820954481599</v>
      </c>
      <c r="H9" s="38">
        <v>7.4999999999999997E-2</v>
      </c>
      <c r="J9" t="s">
        <v>4</v>
      </c>
      <c r="K9" t="s">
        <v>5</v>
      </c>
      <c r="L9" s="41">
        <v>0</v>
      </c>
    </row>
    <row r="10" spans="1:14" x14ac:dyDescent="0.25">
      <c r="A10" s="20"/>
      <c r="J10" t="s">
        <v>4</v>
      </c>
      <c r="K10" t="s">
        <v>7</v>
      </c>
      <c r="L10" s="41">
        <v>4.1000000000000002E-2</v>
      </c>
      <c r="N10" s="39"/>
    </row>
    <row r="11" spans="1:14" x14ac:dyDescent="0.25">
      <c r="J11" t="s">
        <v>4</v>
      </c>
      <c r="K11" t="s">
        <v>3</v>
      </c>
      <c r="L11" s="41">
        <v>0.54100000000000004</v>
      </c>
    </row>
    <row r="12" spans="1:14" x14ac:dyDescent="0.25">
      <c r="A12" t="s">
        <v>112</v>
      </c>
      <c r="B12" t="s">
        <v>67</v>
      </c>
      <c r="C12" t="s">
        <v>113</v>
      </c>
      <c r="D12" t="s">
        <v>114</v>
      </c>
      <c r="E12" t="s">
        <v>115</v>
      </c>
      <c r="F12" t="s">
        <v>116</v>
      </c>
      <c r="J12" t="s">
        <v>4</v>
      </c>
      <c r="K12" t="s">
        <v>109</v>
      </c>
      <c r="L12" s="41">
        <v>7.3999999999999996E-2</v>
      </c>
    </row>
    <row r="13" spans="1:14" x14ac:dyDescent="0.25">
      <c r="A13" t="s">
        <v>117</v>
      </c>
      <c r="B13" t="s">
        <v>1</v>
      </c>
      <c r="C13" t="s">
        <v>118</v>
      </c>
      <c r="D13">
        <v>0</v>
      </c>
      <c r="E13">
        <v>2.53037713117059E-2</v>
      </c>
      <c r="F13" t="s">
        <v>119</v>
      </c>
      <c r="J13" t="s">
        <v>4</v>
      </c>
      <c r="K13" t="s">
        <v>110</v>
      </c>
      <c r="L13" s="41">
        <v>0.4</v>
      </c>
    </row>
    <row r="14" spans="1:14" x14ac:dyDescent="0.25">
      <c r="A14" t="s">
        <v>120</v>
      </c>
      <c r="B14" t="s">
        <v>7</v>
      </c>
      <c r="C14" t="s">
        <v>118</v>
      </c>
      <c r="D14">
        <v>91</v>
      </c>
      <c r="E14">
        <v>4.8979906930175399E-2</v>
      </c>
      <c r="F14" t="s">
        <v>121</v>
      </c>
      <c r="J14" t="s">
        <v>5</v>
      </c>
      <c r="K14" t="s">
        <v>7</v>
      </c>
      <c r="L14" s="41">
        <v>6.6000000000000003E-2</v>
      </c>
    </row>
    <row r="15" spans="1:14" x14ac:dyDescent="0.25">
      <c r="A15" t="s">
        <v>122</v>
      </c>
      <c r="B15" t="s">
        <v>7</v>
      </c>
      <c r="C15" t="s">
        <v>118</v>
      </c>
      <c r="D15">
        <v>8</v>
      </c>
      <c r="E15">
        <v>4.9684240761478898E-2</v>
      </c>
      <c r="F15" t="s">
        <v>123</v>
      </c>
      <c r="J15" t="s">
        <v>5</v>
      </c>
      <c r="K15" t="s">
        <v>3</v>
      </c>
      <c r="L15" s="41">
        <v>0.112</v>
      </c>
    </row>
    <row r="16" spans="1:14" x14ac:dyDescent="0.25">
      <c r="A16" t="s">
        <v>124</v>
      </c>
      <c r="B16" t="s">
        <v>3</v>
      </c>
      <c r="C16" t="s">
        <v>125</v>
      </c>
      <c r="D16">
        <v>7.0267896354852803</v>
      </c>
      <c r="E16">
        <v>2.97955919443533E-2</v>
      </c>
      <c r="F16" t="s">
        <v>126</v>
      </c>
      <c r="J16" t="s">
        <v>5</v>
      </c>
      <c r="K16" t="s">
        <v>109</v>
      </c>
      <c r="L16" s="41">
        <v>0.06</v>
      </c>
    </row>
    <row r="17" spans="1:12" x14ac:dyDescent="0.25">
      <c r="A17" t="s">
        <v>124</v>
      </c>
      <c r="B17" t="s">
        <v>127</v>
      </c>
      <c r="C17" t="s">
        <v>125</v>
      </c>
      <c r="D17">
        <v>7.1783047870004202</v>
      </c>
      <c r="E17">
        <v>2.7621732864128602E-2</v>
      </c>
      <c r="F17" t="s">
        <v>128</v>
      </c>
      <c r="J17" t="s">
        <v>5</v>
      </c>
      <c r="K17" t="s">
        <v>110</v>
      </c>
      <c r="L17" s="41">
        <v>0.68500000000000005</v>
      </c>
    </row>
    <row r="18" spans="1:12" x14ac:dyDescent="0.25">
      <c r="J18" t="s">
        <v>7</v>
      </c>
      <c r="K18" t="s">
        <v>3</v>
      </c>
      <c r="L18" s="41">
        <v>0.35499999999999998</v>
      </c>
    </row>
    <row r="19" spans="1:12" x14ac:dyDescent="0.25">
      <c r="J19" t="s">
        <v>7</v>
      </c>
      <c r="K19" t="s">
        <v>109</v>
      </c>
      <c r="L19" s="41">
        <v>0</v>
      </c>
    </row>
    <row r="20" spans="1:12" x14ac:dyDescent="0.25">
      <c r="J20" t="s">
        <v>7</v>
      </c>
      <c r="K20" t="s">
        <v>110</v>
      </c>
      <c r="L20" s="41">
        <v>0.95599999999999996</v>
      </c>
    </row>
    <row r="21" spans="1:12" x14ac:dyDescent="0.25">
      <c r="J21" t="s">
        <v>3</v>
      </c>
      <c r="K21" t="s">
        <v>109</v>
      </c>
      <c r="L21" s="41">
        <v>0.432</v>
      </c>
    </row>
    <row r="22" spans="1:12" x14ac:dyDescent="0.25">
      <c r="J22" t="s">
        <v>3</v>
      </c>
      <c r="K22" t="s">
        <v>110</v>
      </c>
      <c r="L22" s="41">
        <v>1.0999999999999999E-2</v>
      </c>
    </row>
    <row r="23" spans="1:12" x14ac:dyDescent="0.25">
      <c r="J23" t="s">
        <v>109</v>
      </c>
      <c r="K23" t="s">
        <v>110</v>
      </c>
      <c r="L23" s="41">
        <v>0.68500000000000005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EBDEC-8CC6-4CC1-9DB8-5A843AF4275C}">
  <dimension ref="A1:I11"/>
  <sheetViews>
    <sheetView tabSelected="1" workbookViewId="0">
      <selection activeCell="E11" sqref="E11"/>
    </sheetView>
  </sheetViews>
  <sheetFormatPr defaultRowHeight="15" x14ac:dyDescent="0.25"/>
  <cols>
    <col min="1" max="2" width="9.140625" style="59"/>
    <col min="3" max="3" width="9.28515625" style="60" bestFit="1" customWidth="1"/>
    <col min="4" max="4" width="9.5703125" style="61" bestFit="1" customWidth="1"/>
    <col min="5" max="5" width="88" customWidth="1"/>
  </cols>
  <sheetData>
    <row r="1" spans="1:9" s="49" customFormat="1" x14ac:dyDescent="0.25">
      <c r="A1" s="5" t="s">
        <v>69</v>
      </c>
      <c r="B1" s="5" t="s">
        <v>139</v>
      </c>
      <c r="C1" s="53" t="s">
        <v>130</v>
      </c>
      <c r="D1" s="54" t="s">
        <v>131</v>
      </c>
      <c r="E1" s="49" t="s">
        <v>140</v>
      </c>
      <c r="F1" s="49" t="s">
        <v>141</v>
      </c>
    </row>
    <row r="2" spans="1:9" s="49" customFormat="1" x14ac:dyDescent="0.25">
      <c r="A2" s="5" t="s">
        <v>7</v>
      </c>
      <c r="B2" s="5" t="s">
        <v>137</v>
      </c>
      <c r="C2" s="55">
        <v>6.3082367709999998</v>
      </c>
      <c r="D2" s="54">
        <v>2.6512570000000002E-3</v>
      </c>
      <c r="E2" s="49" t="s">
        <v>146</v>
      </c>
      <c r="F2" s="49" t="s">
        <v>144</v>
      </c>
    </row>
    <row r="3" spans="1:9" s="49" customFormat="1" x14ac:dyDescent="0.25">
      <c r="A3" s="5" t="s">
        <v>152</v>
      </c>
      <c r="B3" s="5" t="s">
        <v>134</v>
      </c>
      <c r="C3" s="55">
        <v>6.894344394</v>
      </c>
      <c r="D3" s="54">
        <v>5.6799999999999998E-6</v>
      </c>
      <c r="E3" s="49" t="s">
        <v>150</v>
      </c>
      <c r="F3" s="49" t="s">
        <v>151</v>
      </c>
      <c r="H3" s="50"/>
    </row>
    <row r="4" spans="1:9" s="49" customFormat="1" x14ac:dyDescent="0.25">
      <c r="A4" s="5" t="s">
        <v>4</v>
      </c>
      <c r="B4" s="5" t="s">
        <v>135</v>
      </c>
      <c r="C4" s="56">
        <v>-1.3207434769999999</v>
      </c>
      <c r="D4" s="54">
        <v>4.5333368999999998E-2</v>
      </c>
      <c r="E4" s="49" t="s">
        <v>145</v>
      </c>
      <c r="F4" s="49" t="s">
        <v>143</v>
      </c>
    </row>
    <row r="5" spans="1:9" s="49" customFormat="1" x14ac:dyDescent="0.25">
      <c r="A5" s="5" t="s">
        <v>5</v>
      </c>
      <c r="B5" s="5" t="s">
        <v>136</v>
      </c>
      <c r="C5" s="55">
        <v>7.2234986579999996</v>
      </c>
      <c r="D5" s="54">
        <v>8.4499999999999994E-5</v>
      </c>
      <c r="E5" s="49" t="s">
        <v>148</v>
      </c>
      <c r="F5" s="49" t="s">
        <v>149</v>
      </c>
    </row>
    <row r="6" spans="1:9" s="49" customFormat="1" x14ac:dyDescent="0.25">
      <c r="A6" s="5" t="s">
        <v>3</v>
      </c>
      <c r="B6" s="5" t="s">
        <v>132</v>
      </c>
      <c r="C6" s="55">
        <v>5.3468559940000002</v>
      </c>
      <c r="D6" s="54">
        <v>9.0858299999999996E-3</v>
      </c>
      <c r="E6" s="51" t="s">
        <v>147</v>
      </c>
      <c r="F6" s="49" t="s">
        <v>142</v>
      </c>
    </row>
    <row r="7" spans="1:9" s="49" customFormat="1" x14ac:dyDescent="0.25">
      <c r="A7" s="5" t="s">
        <v>127</v>
      </c>
      <c r="B7" s="57" t="s">
        <v>138</v>
      </c>
      <c r="C7" s="55">
        <v>3.099946262</v>
      </c>
      <c r="D7" s="58">
        <v>3.4094213999999998E-2</v>
      </c>
      <c r="E7" s="52" t="s">
        <v>156</v>
      </c>
      <c r="F7" s="49" t="s">
        <v>155</v>
      </c>
    </row>
    <row r="8" spans="1:9" s="49" customFormat="1" x14ac:dyDescent="0.25">
      <c r="A8" s="5" t="s">
        <v>1</v>
      </c>
      <c r="B8" s="5" t="s">
        <v>133</v>
      </c>
      <c r="C8" s="55">
        <v>3.967140718</v>
      </c>
      <c r="D8" s="58">
        <v>1.8623458999999998E-2</v>
      </c>
      <c r="E8" s="49" t="s">
        <v>154</v>
      </c>
      <c r="F8" s="49" t="s">
        <v>153</v>
      </c>
    </row>
    <row r="9" spans="1:9" x14ac:dyDescent="0.25">
      <c r="F9" s="48"/>
      <c r="G9" s="48"/>
      <c r="I9" s="48"/>
    </row>
    <row r="11" spans="1:9" x14ac:dyDescent="0.25">
      <c r="C11" s="62"/>
      <c r="D11" s="6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D2D04-DBD9-4E8E-83A8-A2435056F7C5}">
  <dimension ref="A1:J4"/>
  <sheetViews>
    <sheetView workbookViewId="0">
      <selection activeCell="I14" sqref="I14"/>
    </sheetView>
  </sheetViews>
  <sheetFormatPr defaultColWidth="17.140625" defaultRowHeight="15" x14ac:dyDescent="0.25"/>
  <cols>
    <col min="1" max="1" width="17.140625" style="6"/>
    <col min="2" max="2" width="9.5703125" style="6" customWidth="1"/>
    <col min="3" max="3" width="7.7109375" style="6" customWidth="1"/>
    <col min="4" max="4" width="11.42578125" style="6" customWidth="1"/>
    <col min="5" max="5" width="29.7109375" style="6" customWidth="1"/>
    <col min="6" max="6" width="17.140625" style="11"/>
    <col min="7" max="16384" width="17.140625" style="6"/>
  </cols>
  <sheetData>
    <row r="1" spans="1:10" x14ac:dyDescent="0.25">
      <c r="A1" s="9" t="s">
        <v>53</v>
      </c>
      <c r="B1" s="9" t="s">
        <v>61</v>
      </c>
      <c r="C1" s="9" t="s">
        <v>56</v>
      </c>
      <c r="D1" s="9" t="s">
        <v>62</v>
      </c>
      <c r="E1" s="9" t="s">
        <v>54</v>
      </c>
      <c r="F1" s="10" t="s">
        <v>55</v>
      </c>
    </row>
    <row r="2" spans="1:10" x14ac:dyDescent="0.25">
      <c r="A2" s="6" t="s">
        <v>57</v>
      </c>
      <c r="B2" s="6">
        <v>8.8000000000000007</v>
      </c>
      <c r="C2" s="6" t="s">
        <v>48</v>
      </c>
      <c r="D2" s="6">
        <v>74.3</v>
      </c>
      <c r="E2" s="6" t="s">
        <v>63</v>
      </c>
      <c r="F2" s="11" t="s">
        <v>58</v>
      </c>
      <c r="I2" s="12"/>
      <c r="J2" s="12"/>
    </row>
    <row r="3" spans="1:10" x14ac:dyDescent="0.25">
      <c r="A3" s="6" t="s">
        <v>59</v>
      </c>
      <c r="B3" s="6">
        <v>1.2</v>
      </c>
      <c r="C3" s="6" t="s">
        <v>64</v>
      </c>
      <c r="D3" s="6">
        <v>52.6</v>
      </c>
      <c r="E3" s="6" t="s">
        <v>65</v>
      </c>
      <c r="F3" s="11">
        <v>0.4</v>
      </c>
      <c r="I3" s="12"/>
      <c r="J3" s="12"/>
    </row>
    <row r="4" spans="1:10" x14ac:dyDescent="0.25">
      <c r="A4" s="6" t="s">
        <v>60</v>
      </c>
      <c r="B4" s="6">
        <v>7.1</v>
      </c>
      <c r="C4" s="6" t="s">
        <v>48</v>
      </c>
      <c r="D4" s="6">
        <v>32.700000000000003</v>
      </c>
      <c r="E4" s="6" t="s">
        <v>66</v>
      </c>
      <c r="F4" s="11">
        <v>0.9</v>
      </c>
      <c r="I4" s="12"/>
      <c r="J4" s="1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143CD-49C0-4E24-B9D8-5EE07EACA759}">
  <dimension ref="A1:J183"/>
  <sheetViews>
    <sheetView topLeftCell="A24" workbookViewId="0">
      <selection activeCell="I40" sqref="I40"/>
    </sheetView>
  </sheetViews>
  <sheetFormatPr defaultRowHeight="15" x14ac:dyDescent="0.25"/>
  <cols>
    <col min="2" max="2" width="12.28515625" customWidth="1"/>
  </cols>
  <sheetData>
    <row r="1" spans="1:7" x14ac:dyDescent="0.25">
      <c r="A1" t="s">
        <v>67</v>
      </c>
      <c r="B1" t="s">
        <v>68</v>
      </c>
      <c r="C1" t="s">
        <v>81</v>
      </c>
      <c r="D1" t="s">
        <v>82</v>
      </c>
      <c r="E1" t="s">
        <v>83</v>
      </c>
    </row>
    <row r="2" spans="1:7" x14ac:dyDescent="0.25">
      <c r="A2" t="s">
        <v>77</v>
      </c>
      <c r="B2" s="13" t="s">
        <v>17</v>
      </c>
      <c r="C2">
        <v>-0.40381827399999998</v>
      </c>
      <c r="D2">
        <v>-3.0503229999999999E-2</v>
      </c>
      <c r="E2">
        <v>-1.03687511</v>
      </c>
      <c r="F2" s="5"/>
      <c r="G2">
        <f>AVERAGE(C2:E2)</f>
        <v>-0.49039887133333332</v>
      </c>
    </row>
    <row r="3" spans="1:7" x14ac:dyDescent="0.25">
      <c r="A3" t="s">
        <v>77</v>
      </c>
      <c r="B3" s="14">
        <v>1771</v>
      </c>
      <c r="C3">
        <v>5.3240332000000001E-2</v>
      </c>
      <c r="D3">
        <v>-0.93001685499999998</v>
      </c>
      <c r="E3">
        <v>-1.3930760959999999</v>
      </c>
      <c r="F3" s="5"/>
      <c r="G3">
        <f t="shared" ref="G3:G66" si="0">AVERAGE(C3:E3)</f>
        <v>-0.75661753966666667</v>
      </c>
    </row>
    <row r="4" spans="1:7" x14ac:dyDescent="0.25">
      <c r="A4" t="s">
        <v>77</v>
      </c>
      <c r="B4" s="13" t="s">
        <v>70</v>
      </c>
      <c r="C4">
        <v>-0.26729361200000001</v>
      </c>
      <c r="D4">
        <v>-0.18751985800000001</v>
      </c>
      <c r="E4">
        <v>-1.0889520530000001</v>
      </c>
      <c r="F4" s="5"/>
      <c r="G4">
        <f t="shared" si="0"/>
        <v>-0.51458850766666675</v>
      </c>
    </row>
    <row r="5" spans="1:7" x14ac:dyDescent="0.25">
      <c r="A5" t="s">
        <v>77</v>
      </c>
      <c r="B5" s="13" t="s">
        <v>18</v>
      </c>
      <c r="C5">
        <v>-0.20885885300000001</v>
      </c>
      <c r="D5">
        <v>-0.25747624600000002</v>
      </c>
      <c r="E5">
        <v>-0.64505810699999999</v>
      </c>
      <c r="F5" s="5"/>
      <c r="G5">
        <f t="shared" si="0"/>
        <v>-0.37046440200000003</v>
      </c>
    </row>
    <row r="6" spans="1:7" x14ac:dyDescent="0.25">
      <c r="A6" t="s">
        <v>77</v>
      </c>
      <c r="B6" s="13" t="s">
        <v>34</v>
      </c>
      <c r="C6">
        <v>-0.47433594600000001</v>
      </c>
      <c r="D6">
        <v>-4.1728909000000002E-2</v>
      </c>
      <c r="E6">
        <v>-0.93168029600000002</v>
      </c>
      <c r="F6" s="5"/>
      <c r="G6">
        <f t="shared" si="0"/>
        <v>-0.48258171699999997</v>
      </c>
    </row>
    <row r="7" spans="1:7" x14ac:dyDescent="0.25">
      <c r="A7" t="s">
        <v>77</v>
      </c>
      <c r="B7" s="13" t="s">
        <v>38</v>
      </c>
      <c r="C7">
        <v>-0.112705813</v>
      </c>
      <c r="D7">
        <v>-0.93001685499999998</v>
      </c>
      <c r="E7">
        <v>-1.02525143</v>
      </c>
      <c r="F7" s="5"/>
      <c r="G7">
        <f t="shared" si="0"/>
        <v>-0.68932469933333318</v>
      </c>
    </row>
    <row r="8" spans="1:7" x14ac:dyDescent="0.25">
      <c r="A8" t="s">
        <v>77</v>
      </c>
      <c r="B8" s="13" t="s">
        <v>28</v>
      </c>
      <c r="C8">
        <v>0</v>
      </c>
      <c r="D8">
        <v>-0.74129278799999998</v>
      </c>
      <c r="E8">
        <v>-0.95223349300000004</v>
      </c>
      <c r="F8" s="8"/>
      <c r="G8">
        <f t="shared" si="0"/>
        <v>-0.5645087603333333</v>
      </c>
    </row>
    <row r="9" spans="1:7" x14ac:dyDescent="0.25">
      <c r="A9" t="s">
        <v>77</v>
      </c>
      <c r="B9" s="13" t="s">
        <v>71</v>
      </c>
      <c r="C9">
        <v>2.9860815280000002</v>
      </c>
      <c r="D9">
        <v>1.0768079100000001</v>
      </c>
      <c r="E9">
        <v>-0.59345060100000002</v>
      </c>
      <c r="F9" s="5"/>
      <c r="G9">
        <f t="shared" si="0"/>
        <v>1.1564796123333334</v>
      </c>
    </row>
    <row r="10" spans="1:7" x14ac:dyDescent="0.25">
      <c r="A10" t="s">
        <v>77</v>
      </c>
      <c r="B10" s="13" t="s">
        <v>31</v>
      </c>
      <c r="C10">
        <v>2.20264142</v>
      </c>
      <c r="D10">
        <v>0.138422822</v>
      </c>
      <c r="E10">
        <v>-0.37540710199999999</v>
      </c>
      <c r="F10" s="5"/>
      <c r="G10">
        <f t="shared" si="0"/>
        <v>0.65521904666666664</v>
      </c>
    </row>
    <row r="11" spans="1:7" x14ac:dyDescent="0.25">
      <c r="A11" t="s">
        <v>77</v>
      </c>
      <c r="B11" s="13" t="s">
        <v>32</v>
      </c>
      <c r="C11">
        <v>2.20264142</v>
      </c>
      <c r="D11">
        <v>-0.15671047299999999</v>
      </c>
      <c r="E11">
        <v>-0.60257401600000005</v>
      </c>
      <c r="F11" s="5"/>
      <c r="G11">
        <f t="shared" si="0"/>
        <v>0.48111897699999995</v>
      </c>
    </row>
    <row r="12" spans="1:7" x14ac:dyDescent="0.25">
      <c r="A12" t="s">
        <v>77</v>
      </c>
      <c r="B12" s="13" t="s">
        <v>36</v>
      </c>
      <c r="C12">
        <v>4.13344793</v>
      </c>
      <c r="D12">
        <v>0.67449999999999999</v>
      </c>
      <c r="E12">
        <v>-0.85489665500000001</v>
      </c>
      <c r="F12" s="5"/>
      <c r="G12">
        <f t="shared" si="0"/>
        <v>1.3176837583333334</v>
      </c>
    </row>
    <row r="13" spans="1:7" x14ac:dyDescent="0.25">
      <c r="A13" t="s">
        <v>77</v>
      </c>
      <c r="B13" s="13" t="s">
        <v>72</v>
      </c>
      <c r="C13">
        <v>3.713362627</v>
      </c>
      <c r="D13">
        <v>0.41353358899999998</v>
      </c>
      <c r="E13">
        <v>-0.65413049599999995</v>
      </c>
      <c r="F13" s="5"/>
      <c r="G13">
        <f t="shared" si="0"/>
        <v>1.1575885733333331</v>
      </c>
    </row>
    <row r="14" spans="1:7" x14ac:dyDescent="0.25">
      <c r="A14" t="s">
        <v>77</v>
      </c>
      <c r="B14" s="13" t="s">
        <v>35</v>
      </c>
      <c r="C14">
        <v>2.3243685959999998</v>
      </c>
      <c r="D14">
        <v>1.0650209470000001</v>
      </c>
      <c r="E14">
        <v>-3.9698082000000003E-2</v>
      </c>
      <c r="F14" s="5"/>
      <c r="G14">
        <f t="shared" si="0"/>
        <v>1.1165638203333332</v>
      </c>
    </row>
    <row r="15" spans="1:7" x14ac:dyDescent="0.25">
      <c r="A15" t="s">
        <v>77</v>
      </c>
      <c r="B15" s="13" t="s">
        <v>20</v>
      </c>
      <c r="C15">
        <v>1.0578569229999999</v>
      </c>
      <c r="D15">
        <v>-3.3309650000000003E-2</v>
      </c>
      <c r="E15">
        <v>-0.38160163600000002</v>
      </c>
      <c r="F15" s="5"/>
      <c r="G15">
        <f t="shared" si="0"/>
        <v>0.21431521233333325</v>
      </c>
    </row>
    <row r="16" spans="1:7" x14ac:dyDescent="0.25">
      <c r="A16" t="s">
        <v>77</v>
      </c>
      <c r="B16" s="13" t="s">
        <v>25</v>
      </c>
      <c r="C16">
        <v>2.6855905230000001</v>
      </c>
      <c r="D16">
        <v>0.36511009300000002</v>
      </c>
      <c r="E16">
        <v>-0.57213201700000005</v>
      </c>
      <c r="F16" s="5"/>
      <c r="G16">
        <f t="shared" si="0"/>
        <v>0.82618953300000009</v>
      </c>
    </row>
    <row r="17" spans="1:7" x14ac:dyDescent="0.25">
      <c r="A17" t="s">
        <v>77</v>
      </c>
      <c r="B17" s="13" t="s">
        <v>29</v>
      </c>
      <c r="C17">
        <v>8.0817129849999993</v>
      </c>
      <c r="D17">
        <v>2.0923032049999999</v>
      </c>
      <c r="E17">
        <v>0.27783554500000002</v>
      </c>
      <c r="F17" s="5"/>
      <c r="G17">
        <f t="shared" si="0"/>
        <v>3.4839505783333333</v>
      </c>
    </row>
    <row r="18" spans="1:7" x14ac:dyDescent="0.25">
      <c r="A18" t="s">
        <v>77</v>
      </c>
      <c r="B18" s="13" t="s">
        <v>21</v>
      </c>
      <c r="C18">
        <v>5.5719165879999997</v>
      </c>
      <c r="D18">
        <v>0.602492374</v>
      </c>
      <c r="E18">
        <v>-0.41253348299999998</v>
      </c>
      <c r="F18" s="5"/>
      <c r="G18">
        <f t="shared" si="0"/>
        <v>1.9206251596666666</v>
      </c>
    </row>
    <row r="19" spans="1:7" x14ac:dyDescent="0.25">
      <c r="A19" t="s">
        <v>77</v>
      </c>
      <c r="B19" s="13" t="s">
        <v>43</v>
      </c>
      <c r="C19">
        <v>3.6424571600000002</v>
      </c>
      <c r="D19">
        <v>2.791448672</v>
      </c>
      <c r="E19">
        <v>3.6687559000000002E-2</v>
      </c>
      <c r="F19" s="5"/>
      <c r="G19">
        <f t="shared" si="0"/>
        <v>2.156864463666667</v>
      </c>
    </row>
    <row r="20" spans="1:7" x14ac:dyDescent="0.25">
      <c r="A20" t="s">
        <v>77</v>
      </c>
      <c r="B20" s="13" t="s">
        <v>19</v>
      </c>
      <c r="C20">
        <v>8.4505785769999999</v>
      </c>
      <c r="D20">
        <v>-0.36090556600000001</v>
      </c>
      <c r="E20">
        <v>-0.29146964199999997</v>
      </c>
      <c r="F20" s="5"/>
      <c r="G20">
        <f t="shared" si="0"/>
        <v>2.5994011230000003</v>
      </c>
    </row>
    <row r="21" spans="1:7" x14ac:dyDescent="0.25">
      <c r="A21" t="s">
        <v>77</v>
      </c>
      <c r="B21" s="13" t="s">
        <v>26</v>
      </c>
      <c r="C21">
        <v>5.9579778799999996</v>
      </c>
      <c r="D21">
        <v>1.5338767209999999</v>
      </c>
      <c r="E21">
        <v>-0.45571152399999998</v>
      </c>
      <c r="F21" s="5"/>
      <c r="G21">
        <f t="shared" si="0"/>
        <v>2.3453810256666667</v>
      </c>
    </row>
    <row r="22" spans="1:7" x14ac:dyDescent="0.25">
      <c r="A22" t="s">
        <v>77</v>
      </c>
      <c r="B22" s="13" t="s">
        <v>24</v>
      </c>
      <c r="C22">
        <v>3.8150672750000001</v>
      </c>
      <c r="D22">
        <v>1.521763193</v>
      </c>
      <c r="E22">
        <v>-0.13148331199999999</v>
      </c>
      <c r="F22" s="5"/>
      <c r="G22">
        <f t="shared" si="0"/>
        <v>1.7351157186666668</v>
      </c>
    </row>
    <row r="23" spans="1:7" x14ac:dyDescent="0.25">
      <c r="A23" t="s">
        <v>77</v>
      </c>
      <c r="B23" s="13" t="s">
        <v>30</v>
      </c>
      <c r="C23">
        <v>3.9377639420000001</v>
      </c>
      <c r="D23">
        <v>0.68026591700000005</v>
      </c>
      <c r="E23">
        <v>-0.26962038900000002</v>
      </c>
      <c r="F23" s="5"/>
      <c r="G23">
        <f t="shared" si="0"/>
        <v>1.4494698233333334</v>
      </c>
    </row>
    <row r="24" spans="1:7" x14ac:dyDescent="0.25">
      <c r="A24" t="s">
        <v>77</v>
      </c>
      <c r="B24" s="13" t="s">
        <v>37</v>
      </c>
      <c r="C24">
        <v>3.361284527</v>
      </c>
      <c r="D24">
        <v>1.0768079100000001</v>
      </c>
      <c r="E24">
        <v>0.12308446300000001</v>
      </c>
      <c r="F24" s="5"/>
      <c r="G24">
        <f t="shared" si="0"/>
        <v>1.5203922999999999</v>
      </c>
    </row>
    <row r="25" spans="1:7" x14ac:dyDescent="0.25">
      <c r="A25" t="s">
        <v>77</v>
      </c>
      <c r="B25" s="13" t="s">
        <v>23</v>
      </c>
      <c r="C25">
        <v>2.118928473</v>
      </c>
      <c r="D25">
        <v>1.0945036610000001</v>
      </c>
      <c r="E25">
        <v>-0.51406464299999999</v>
      </c>
      <c r="F25" s="5"/>
      <c r="G25">
        <f t="shared" si="0"/>
        <v>0.89978916366666672</v>
      </c>
    </row>
    <row r="26" spans="1:7" x14ac:dyDescent="0.25">
      <c r="A26" t="s">
        <v>77</v>
      </c>
      <c r="B26" s="13" t="s">
        <v>22</v>
      </c>
      <c r="C26">
        <v>2.608888522</v>
      </c>
      <c r="D26">
        <v>0.63126072700000002</v>
      </c>
      <c r="E26">
        <v>-0.65110976799999998</v>
      </c>
      <c r="F26" s="5"/>
      <c r="G26">
        <f t="shared" si="0"/>
        <v>0.86301316033333331</v>
      </c>
    </row>
    <row r="27" spans="1:7" x14ac:dyDescent="0.25">
      <c r="A27" t="s">
        <v>77</v>
      </c>
      <c r="B27" s="15" t="s">
        <v>73</v>
      </c>
      <c r="C27">
        <v>2.484984796</v>
      </c>
      <c r="D27">
        <v>-0.27705089199999999</v>
      </c>
      <c r="E27">
        <v>-7.1416964999999999E-2</v>
      </c>
      <c r="G27">
        <f t="shared" si="0"/>
        <v>0.71217231299999995</v>
      </c>
    </row>
    <row r="28" spans="1:7" x14ac:dyDescent="0.25">
      <c r="A28" t="s">
        <v>74</v>
      </c>
      <c r="B28" s="13" t="s">
        <v>17</v>
      </c>
      <c r="C28">
        <v>0.18827855199999999</v>
      </c>
      <c r="D28">
        <v>1.1075208910000001</v>
      </c>
      <c r="E28">
        <v>0.982430362</v>
      </c>
      <c r="G28">
        <f t="shared" si="0"/>
        <v>0.75940993499999998</v>
      </c>
    </row>
    <row r="29" spans="1:7" x14ac:dyDescent="0.25">
      <c r="A29" t="s">
        <v>74</v>
      </c>
      <c r="B29" s="14">
        <v>1771</v>
      </c>
      <c r="C29">
        <v>0.227041783</v>
      </c>
      <c r="D29">
        <v>-0.90144289700000002</v>
      </c>
      <c r="E29">
        <v>-1.6519860719999999</v>
      </c>
      <c r="G29">
        <f t="shared" si="0"/>
        <v>-0.77546239533333328</v>
      </c>
    </row>
    <row r="30" spans="1:7" x14ac:dyDescent="0.25">
      <c r="A30" t="s">
        <v>74</v>
      </c>
      <c r="B30" s="13" t="s">
        <v>70</v>
      </c>
      <c r="C30">
        <v>0.147735376</v>
      </c>
      <c r="D30">
        <v>-1.1075209000000001E-2</v>
      </c>
      <c r="E30">
        <v>1.495350975</v>
      </c>
      <c r="G30">
        <f t="shared" si="0"/>
        <v>0.54400371400000003</v>
      </c>
    </row>
    <row r="31" spans="1:7" x14ac:dyDescent="0.25">
      <c r="A31" t="s">
        <v>74</v>
      </c>
      <c r="B31" s="13" t="s">
        <v>18</v>
      </c>
      <c r="C31">
        <v>6.7934540000000002E-2</v>
      </c>
      <c r="D31">
        <v>3.867818942</v>
      </c>
      <c r="E31">
        <v>1.4104080779999999</v>
      </c>
      <c r="G31">
        <f t="shared" si="0"/>
        <v>1.7820538533333332</v>
      </c>
    </row>
    <row r="32" spans="1:7" x14ac:dyDescent="0.25">
      <c r="A32" t="s">
        <v>74</v>
      </c>
      <c r="B32" s="13" t="s">
        <v>34</v>
      </c>
      <c r="C32">
        <v>0</v>
      </c>
      <c r="D32">
        <v>2.2842617999999999E-2</v>
      </c>
      <c r="E32">
        <v>1.196221448</v>
      </c>
      <c r="G32">
        <f t="shared" si="0"/>
        <v>0.40635468866666669</v>
      </c>
    </row>
    <row r="33" spans="1:7" x14ac:dyDescent="0.25">
      <c r="A33" t="s">
        <v>74</v>
      </c>
      <c r="B33" s="13" t="s">
        <v>38</v>
      </c>
      <c r="C33">
        <v>-3.5598890000000001E-3</v>
      </c>
      <c r="D33">
        <v>-0.18175208900000001</v>
      </c>
      <c r="E33">
        <v>-0.37991922</v>
      </c>
      <c r="G33">
        <f t="shared" si="0"/>
        <v>-0.18841039933333334</v>
      </c>
    </row>
    <row r="34" spans="1:7" x14ac:dyDescent="0.25">
      <c r="A34" t="s">
        <v>74</v>
      </c>
      <c r="B34" s="13" t="s">
        <v>28</v>
      </c>
      <c r="C34">
        <v>-0.133693593</v>
      </c>
      <c r="D34">
        <v>0.15525069599999999</v>
      </c>
      <c r="E34">
        <v>0.63909888599999998</v>
      </c>
      <c r="G34">
        <f t="shared" si="0"/>
        <v>0.22021866300000001</v>
      </c>
    </row>
    <row r="35" spans="1:7" x14ac:dyDescent="0.25">
      <c r="A35" t="s">
        <v>74</v>
      </c>
      <c r="B35" s="13" t="s">
        <v>71</v>
      </c>
      <c r="C35">
        <v>7.2186630000000002E-2</v>
      </c>
      <c r="D35">
        <v>0.18323537600000001</v>
      </c>
      <c r="E35">
        <v>2.399266017</v>
      </c>
      <c r="G35">
        <f t="shared" si="0"/>
        <v>0.88489600766666665</v>
      </c>
    </row>
    <row r="36" spans="1:7" x14ac:dyDescent="0.25">
      <c r="A36" t="s">
        <v>74</v>
      </c>
      <c r="B36" s="13" t="s">
        <v>31</v>
      </c>
      <c r="C36">
        <v>-0.120937326</v>
      </c>
      <c r="D36">
        <v>0.42441782700000003</v>
      </c>
      <c r="E36">
        <v>2.1722242340000002</v>
      </c>
      <c r="G36">
        <f t="shared" si="0"/>
        <v>0.82523491166666674</v>
      </c>
    </row>
    <row r="37" spans="1:7" x14ac:dyDescent="0.25">
      <c r="A37" t="s">
        <v>74</v>
      </c>
      <c r="B37" s="13" t="s">
        <v>32</v>
      </c>
      <c r="C37">
        <v>-9.6413649000000004E-2</v>
      </c>
      <c r="D37">
        <v>-1.1321434539999999</v>
      </c>
      <c r="E37">
        <v>1.6243969359999999</v>
      </c>
      <c r="G37">
        <f t="shared" si="0"/>
        <v>0.13194661099999996</v>
      </c>
    </row>
    <row r="38" spans="1:7" x14ac:dyDescent="0.25">
      <c r="A38" t="s">
        <v>74</v>
      </c>
      <c r="B38" s="13" t="s">
        <v>36</v>
      </c>
      <c r="C38">
        <v>-0.52053481899999998</v>
      </c>
      <c r="D38">
        <v>1.3412869080000001</v>
      </c>
      <c r="E38">
        <v>-0.50026323100000003</v>
      </c>
      <c r="G38">
        <f t="shared" si="0"/>
        <v>0.10682961933333335</v>
      </c>
    </row>
    <row r="39" spans="1:7" x14ac:dyDescent="0.25">
      <c r="A39" t="s">
        <v>74</v>
      </c>
      <c r="B39" s="13" t="s">
        <v>72</v>
      </c>
      <c r="C39">
        <v>-0.26115738199999999</v>
      </c>
      <c r="D39">
        <v>1.1125640670000001</v>
      </c>
      <c r="E39">
        <v>-1.9579387E-2</v>
      </c>
      <c r="G39">
        <f t="shared" si="0"/>
        <v>0.27727576600000009</v>
      </c>
    </row>
    <row r="40" spans="1:7" x14ac:dyDescent="0.25">
      <c r="A40" t="s">
        <v>74</v>
      </c>
      <c r="B40" s="13" t="s">
        <v>35</v>
      </c>
      <c r="C40">
        <v>-0.77575905300000003</v>
      </c>
      <c r="D40">
        <v>0.82085097500000004</v>
      </c>
      <c r="E40">
        <v>7.2483286999999993E-2</v>
      </c>
      <c r="G40">
        <f t="shared" si="0"/>
        <v>3.9191736333333331E-2</v>
      </c>
    </row>
    <row r="41" spans="1:7" x14ac:dyDescent="0.25">
      <c r="A41" t="s">
        <v>74</v>
      </c>
      <c r="B41" s="13" t="s">
        <v>20</v>
      </c>
      <c r="C41">
        <v>-0.56760445699999995</v>
      </c>
      <c r="D41">
        <v>-0.72651392800000003</v>
      </c>
      <c r="E41">
        <v>1.9156155989999999</v>
      </c>
      <c r="G41">
        <f t="shared" si="0"/>
        <v>0.20716573799999996</v>
      </c>
    </row>
    <row r="42" spans="1:7" x14ac:dyDescent="0.25">
      <c r="A42" t="s">
        <v>74</v>
      </c>
      <c r="B42" s="13" t="s">
        <v>25</v>
      </c>
      <c r="C42">
        <v>-0.322862117</v>
      </c>
      <c r="D42">
        <v>0.433614206</v>
      </c>
      <c r="E42">
        <v>-0.54614624000000001</v>
      </c>
      <c r="G42">
        <f t="shared" si="0"/>
        <v>-0.14513138366666667</v>
      </c>
    </row>
    <row r="43" spans="1:7" x14ac:dyDescent="0.25">
      <c r="A43" t="s">
        <v>74</v>
      </c>
      <c r="B43" s="13" t="s">
        <v>29</v>
      </c>
      <c r="C43">
        <v>-0.50906406699999995</v>
      </c>
      <c r="D43">
        <v>0.74055570999999998</v>
      </c>
      <c r="E43">
        <v>7.6339832999999996E-2</v>
      </c>
      <c r="G43">
        <f t="shared" si="0"/>
        <v>0.10261049200000001</v>
      </c>
    </row>
    <row r="44" spans="1:7" x14ac:dyDescent="0.25">
      <c r="A44" t="s">
        <v>74</v>
      </c>
      <c r="B44" s="13" t="s">
        <v>21</v>
      </c>
      <c r="C44">
        <v>-0.13606685199999999</v>
      </c>
      <c r="D44">
        <v>0.716229805</v>
      </c>
      <c r="E44">
        <v>-0.50046100299999996</v>
      </c>
      <c r="G44">
        <f t="shared" si="0"/>
        <v>2.6567316666666674E-2</v>
      </c>
    </row>
    <row r="45" spans="1:7" x14ac:dyDescent="0.25">
      <c r="A45" t="s">
        <v>74</v>
      </c>
      <c r="B45" s="13" t="s">
        <v>43</v>
      </c>
      <c r="C45">
        <v>-9.3941503999999995E-2</v>
      </c>
      <c r="D45">
        <v>1.581876045</v>
      </c>
      <c r="E45">
        <v>0.73116155999999999</v>
      </c>
      <c r="G45">
        <f t="shared" si="0"/>
        <v>0.73969870033333329</v>
      </c>
    </row>
    <row r="46" spans="1:7" x14ac:dyDescent="0.25">
      <c r="A46" t="s">
        <v>74</v>
      </c>
      <c r="B46" s="13" t="s">
        <v>19</v>
      </c>
      <c r="C46">
        <v>-0.187388579</v>
      </c>
      <c r="D46">
        <v>-1.6045208909999999</v>
      </c>
      <c r="E46">
        <v>0.80374373300000002</v>
      </c>
      <c r="G46">
        <f t="shared" si="0"/>
        <v>-0.32938857900000001</v>
      </c>
    </row>
    <row r="47" spans="1:7" x14ac:dyDescent="0.25">
      <c r="A47" t="s">
        <v>74</v>
      </c>
      <c r="B47" s="13" t="s">
        <v>26</v>
      </c>
      <c r="C47">
        <v>-0.96799303599999997</v>
      </c>
      <c r="D47">
        <v>-0.13428690800000001</v>
      </c>
      <c r="E47">
        <v>-0.87266713100000004</v>
      </c>
      <c r="G47">
        <f t="shared" si="0"/>
        <v>-0.6583156916666667</v>
      </c>
    </row>
    <row r="48" spans="1:7" x14ac:dyDescent="0.25">
      <c r="A48" t="s">
        <v>74</v>
      </c>
      <c r="B48" s="13" t="s">
        <v>24</v>
      </c>
      <c r="C48">
        <v>-1.5057339830000001</v>
      </c>
      <c r="D48">
        <v>0.41749582200000002</v>
      </c>
      <c r="E48">
        <v>-0.67449999999999999</v>
      </c>
      <c r="G48">
        <f t="shared" si="0"/>
        <v>-0.58757938700000001</v>
      </c>
    </row>
    <row r="49" spans="1:7" x14ac:dyDescent="0.25">
      <c r="A49" t="s">
        <v>74</v>
      </c>
      <c r="B49" s="13" t="s">
        <v>30</v>
      </c>
      <c r="C49">
        <v>-0.55603481899999996</v>
      </c>
      <c r="D49">
        <v>0.91419916400000001</v>
      </c>
      <c r="E49">
        <v>1.6186615600000001</v>
      </c>
      <c r="G49">
        <f t="shared" si="0"/>
        <v>0.65894196833333341</v>
      </c>
    </row>
    <row r="50" spans="1:7" x14ac:dyDescent="0.25">
      <c r="A50" t="s">
        <v>74</v>
      </c>
      <c r="B50" s="13" t="s">
        <v>37</v>
      </c>
      <c r="C50">
        <v>-1.354735376</v>
      </c>
      <c r="D50">
        <v>-1.0161504180000001</v>
      </c>
      <c r="E50">
        <v>1.13036351</v>
      </c>
      <c r="G50">
        <f t="shared" si="0"/>
        <v>-0.41350742800000012</v>
      </c>
    </row>
    <row r="51" spans="1:7" x14ac:dyDescent="0.25">
      <c r="A51" t="s">
        <v>74</v>
      </c>
      <c r="B51" s="13" t="s">
        <v>23</v>
      </c>
      <c r="C51">
        <v>-1.979594708</v>
      </c>
      <c r="D51">
        <v>0.298832869</v>
      </c>
      <c r="E51">
        <v>-0.712867688</v>
      </c>
      <c r="G51">
        <f t="shared" si="0"/>
        <v>-0.79787650899999996</v>
      </c>
    </row>
    <row r="52" spans="1:7" x14ac:dyDescent="0.25">
      <c r="A52" t="s">
        <v>74</v>
      </c>
      <c r="B52" s="13" t="s">
        <v>22</v>
      </c>
      <c r="C52">
        <v>-1.8296838440000001</v>
      </c>
      <c r="D52">
        <v>0.820653203</v>
      </c>
      <c r="E52">
        <v>-0.73897353799999999</v>
      </c>
      <c r="G52">
        <f t="shared" si="0"/>
        <v>-0.58266805966666668</v>
      </c>
    </row>
    <row r="53" spans="1:7" x14ac:dyDescent="0.25">
      <c r="A53" t="s">
        <v>74</v>
      </c>
      <c r="B53" s="15" t="s">
        <v>73</v>
      </c>
      <c r="C53">
        <v>-1.9088913649999999</v>
      </c>
      <c r="D53">
        <v>-0.51865598899999998</v>
      </c>
      <c r="E53">
        <v>0.17522562699999999</v>
      </c>
      <c r="G53">
        <f t="shared" si="0"/>
        <v>-0.75077390899999985</v>
      </c>
    </row>
    <row r="54" spans="1:7" x14ac:dyDescent="0.25">
      <c r="A54" t="s">
        <v>75</v>
      </c>
      <c r="B54" s="13" t="s">
        <v>17</v>
      </c>
      <c r="C54">
        <v>2.0722590360000002</v>
      </c>
      <c r="D54">
        <v>2.86053012</v>
      </c>
      <c r="E54">
        <v>0.28442771100000003</v>
      </c>
      <c r="G54">
        <f t="shared" si="0"/>
        <v>1.7390722890000001</v>
      </c>
    </row>
    <row r="55" spans="1:7" x14ac:dyDescent="0.25">
      <c r="A55" t="s">
        <v>75</v>
      </c>
      <c r="B55" s="14">
        <v>1771</v>
      </c>
      <c r="C55">
        <v>2.7873915660000002</v>
      </c>
      <c r="D55">
        <v>0.89391566300000003</v>
      </c>
      <c r="E55">
        <v>-2.492805723</v>
      </c>
      <c r="G55">
        <f t="shared" si="0"/>
        <v>0.39616716866666674</v>
      </c>
    </row>
    <row r="56" spans="1:7" x14ac:dyDescent="0.25">
      <c r="A56" t="s">
        <v>75</v>
      </c>
      <c r="B56" s="13" t="s">
        <v>70</v>
      </c>
      <c r="C56">
        <v>0.62574096400000001</v>
      </c>
      <c r="D56">
        <v>3.0799457829999999</v>
      </c>
      <c r="E56">
        <v>-4.063253E-2</v>
      </c>
      <c r="G56">
        <f t="shared" si="0"/>
        <v>1.2216847389999999</v>
      </c>
    </row>
    <row r="57" spans="1:7" x14ac:dyDescent="0.25">
      <c r="A57" t="s">
        <v>75</v>
      </c>
      <c r="B57" s="13" t="s">
        <v>18</v>
      </c>
      <c r="C57">
        <v>0.92642168700000005</v>
      </c>
      <c r="D57">
        <v>5.5260240960000004</v>
      </c>
      <c r="E57">
        <v>0.84515662700000005</v>
      </c>
      <c r="G57">
        <f t="shared" si="0"/>
        <v>2.4325341366666668</v>
      </c>
    </row>
    <row r="58" spans="1:7" x14ac:dyDescent="0.25">
      <c r="A58" t="s">
        <v>75</v>
      </c>
      <c r="B58" s="13" t="s">
        <v>34</v>
      </c>
      <c r="C58">
        <v>1.8609698800000001</v>
      </c>
      <c r="D58">
        <v>-2.5437589159999998</v>
      </c>
      <c r="E58">
        <v>0</v>
      </c>
      <c r="G58">
        <f t="shared" si="0"/>
        <v>-0.22759634533333326</v>
      </c>
    </row>
    <row r="59" spans="1:7" x14ac:dyDescent="0.25">
      <c r="A59" t="s">
        <v>75</v>
      </c>
      <c r="B59" s="13" t="s">
        <v>38</v>
      </c>
      <c r="C59">
        <v>2.5598493979999999</v>
      </c>
      <c r="D59">
        <v>-2.606983133</v>
      </c>
      <c r="E59">
        <v>-1.1403113250000001</v>
      </c>
      <c r="G59">
        <f t="shared" si="0"/>
        <v>-0.39581502000000007</v>
      </c>
    </row>
    <row r="60" spans="1:7" x14ac:dyDescent="0.25">
      <c r="A60" t="s">
        <v>75</v>
      </c>
      <c r="B60" s="13" t="s">
        <v>28</v>
      </c>
      <c r="C60">
        <v>0.47946385499999999</v>
      </c>
      <c r="D60">
        <v>-0.91707620499999998</v>
      </c>
      <c r="E60">
        <v>-0.39787373500000001</v>
      </c>
      <c r="G60">
        <f t="shared" si="0"/>
        <v>-0.27849536166666666</v>
      </c>
    </row>
    <row r="61" spans="1:7" x14ac:dyDescent="0.25">
      <c r="A61" t="s">
        <v>75</v>
      </c>
      <c r="B61" s="13" t="s">
        <v>71</v>
      </c>
      <c r="C61">
        <v>1.0401927710000001</v>
      </c>
      <c r="D61">
        <v>-1.2911392770000001</v>
      </c>
      <c r="E61">
        <v>0.92642168700000005</v>
      </c>
      <c r="G61">
        <f t="shared" si="0"/>
        <v>0.22515839366666668</v>
      </c>
    </row>
    <row r="62" spans="1:7" x14ac:dyDescent="0.25">
      <c r="A62" t="s">
        <v>75</v>
      </c>
      <c r="B62" s="13" t="s">
        <v>31</v>
      </c>
      <c r="C62">
        <v>0.99143373499999998</v>
      </c>
      <c r="D62">
        <v>-0.60981301200000004</v>
      </c>
      <c r="E62">
        <v>0.58510843400000001</v>
      </c>
      <c r="G62">
        <f t="shared" si="0"/>
        <v>0.32224305233333334</v>
      </c>
    </row>
    <row r="63" spans="1:7" x14ac:dyDescent="0.25">
      <c r="A63" t="s">
        <v>75</v>
      </c>
      <c r="B63" s="13" t="s">
        <v>32</v>
      </c>
      <c r="C63">
        <v>2.2185361449999998</v>
      </c>
      <c r="D63">
        <v>-3.111557892</v>
      </c>
      <c r="E63">
        <v>0.53634939800000003</v>
      </c>
      <c r="G63">
        <f t="shared" si="0"/>
        <v>-0.11889078300000004</v>
      </c>
    </row>
    <row r="64" spans="1:7" x14ac:dyDescent="0.25">
      <c r="A64" t="s">
        <v>75</v>
      </c>
      <c r="B64" s="13" t="s">
        <v>36</v>
      </c>
      <c r="C64">
        <v>0.19503614499999999</v>
      </c>
      <c r="D64">
        <v>0.38194578299999998</v>
      </c>
      <c r="E64">
        <v>-1.7755603010000001</v>
      </c>
      <c r="G64">
        <f t="shared" si="0"/>
        <v>-0.3995261243333334</v>
      </c>
    </row>
    <row r="65" spans="1:7" x14ac:dyDescent="0.25">
      <c r="A65" t="s">
        <v>75</v>
      </c>
      <c r="B65" s="13" t="s">
        <v>72</v>
      </c>
      <c r="C65">
        <v>0.66637349400000001</v>
      </c>
      <c r="D65">
        <v>-0.61891469899999996</v>
      </c>
      <c r="E65">
        <v>-7.5088916000000006E-2</v>
      </c>
      <c r="G65">
        <f t="shared" si="0"/>
        <v>-9.2100403333333167E-3</v>
      </c>
    </row>
    <row r="66" spans="1:7" x14ac:dyDescent="0.25">
      <c r="A66" t="s">
        <v>75</v>
      </c>
      <c r="B66" s="13" t="s">
        <v>35</v>
      </c>
      <c r="C66">
        <v>0.49571686700000001</v>
      </c>
      <c r="D66">
        <v>-0.15903572299999999</v>
      </c>
      <c r="E66">
        <v>0.30880722900000002</v>
      </c>
      <c r="G66">
        <f t="shared" si="0"/>
        <v>0.21516279100000002</v>
      </c>
    </row>
    <row r="67" spans="1:7" x14ac:dyDescent="0.25">
      <c r="A67" t="s">
        <v>75</v>
      </c>
      <c r="B67" s="13" t="s">
        <v>20</v>
      </c>
      <c r="C67">
        <v>0.89391566300000003</v>
      </c>
      <c r="D67">
        <v>0.33318674700000001</v>
      </c>
      <c r="E67">
        <v>0.32506024100000003</v>
      </c>
      <c r="G67">
        <f t="shared" ref="G67:G130" si="1">AVERAGE(C67:E67)</f>
        <v>0.51738755033333339</v>
      </c>
    </row>
    <row r="68" spans="1:7" x14ac:dyDescent="0.25">
      <c r="A68" t="s">
        <v>75</v>
      </c>
      <c r="B68" s="13" t="s">
        <v>25</v>
      </c>
      <c r="C68">
        <v>0.63386746999999999</v>
      </c>
      <c r="D68">
        <v>-0.29409825299999998</v>
      </c>
      <c r="E68">
        <v>-1.425226627</v>
      </c>
      <c r="G68">
        <f t="shared" si="1"/>
        <v>-0.36181913666666671</v>
      </c>
    </row>
    <row r="69" spans="1:7" x14ac:dyDescent="0.25">
      <c r="A69" t="s">
        <v>75</v>
      </c>
      <c r="B69" s="13" t="s">
        <v>29</v>
      </c>
      <c r="C69">
        <v>0.69075301200000006</v>
      </c>
      <c r="D69">
        <v>-0.12969903599999999</v>
      </c>
      <c r="E69">
        <v>-0.57535662700000001</v>
      </c>
      <c r="G69">
        <f t="shared" si="1"/>
        <v>-4.7675503333333147E-3</v>
      </c>
    </row>
    <row r="70" spans="1:7" x14ac:dyDescent="0.25">
      <c r="A70" t="s">
        <v>75</v>
      </c>
      <c r="B70" s="13" t="s">
        <v>21</v>
      </c>
      <c r="C70">
        <v>0.67449999999999999</v>
      </c>
      <c r="D70">
        <v>-0.255741145</v>
      </c>
      <c r="E70">
        <v>-1.628226747</v>
      </c>
      <c r="G70">
        <f t="shared" si="1"/>
        <v>-0.40315596400000003</v>
      </c>
    </row>
    <row r="71" spans="1:7" x14ac:dyDescent="0.25">
      <c r="A71" t="s">
        <v>75</v>
      </c>
      <c r="B71" s="13" t="s">
        <v>43</v>
      </c>
      <c r="C71">
        <v>1.527783133</v>
      </c>
      <c r="D71">
        <v>-0.14278271100000001</v>
      </c>
      <c r="E71">
        <v>-0.39332289199999998</v>
      </c>
      <c r="G71">
        <f t="shared" si="1"/>
        <v>0.33055917666666668</v>
      </c>
    </row>
    <row r="72" spans="1:7" x14ac:dyDescent="0.25">
      <c r="A72" t="s">
        <v>75</v>
      </c>
      <c r="B72" s="13" t="s">
        <v>19</v>
      </c>
      <c r="C72">
        <v>0.38194578299999998</v>
      </c>
      <c r="D72">
        <v>-3.5395809640000002</v>
      </c>
      <c r="E72">
        <v>-0.68961530100000001</v>
      </c>
      <c r="G72">
        <f t="shared" si="1"/>
        <v>-1.2824168273333334</v>
      </c>
    </row>
    <row r="73" spans="1:7" x14ac:dyDescent="0.25">
      <c r="A73" t="s">
        <v>75</v>
      </c>
      <c r="B73" s="13" t="s">
        <v>26</v>
      </c>
      <c r="C73">
        <v>-0.184471687</v>
      </c>
      <c r="D73">
        <v>-0.33757505999999998</v>
      </c>
      <c r="E73">
        <v>-0.42054668699999997</v>
      </c>
      <c r="G73">
        <f t="shared" si="1"/>
        <v>-0.3141978113333333</v>
      </c>
    </row>
    <row r="74" spans="1:7" x14ac:dyDescent="0.25">
      <c r="A74" t="s">
        <v>75</v>
      </c>
      <c r="B74" s="13" t="s">
        <v>24</v>
      </c>
      <c r="C74">
        <v>0.78827108400000001</v>
      </c>
      <c r="D74">
        <v>-0.91098132499999995</v>
      </c>
      <c r="E74">
        <v>0.25192168700000001</v>
      </c>
      <c r="G74">
        <f t="shared" si="1"/>
        <v>4.3070482000000021E-2</v>
      </c>
    </row>
    <row r="75" spans="1:7" x14ac:dyDescent="0.25">
      <c r="A75" t="s">
        <v>75</v>
      </c>
      <c r="B75" s="13" t="s">
        <v>30</v>
      </c>
      <c r="C75">
        <v>1.332746988</v>
      </c>
      <c r="D75">
        <v>-0.26801216900000002</v>
      </c>
      <c r="E75">
        <v>0.43070481900000002</v>
      </c>
      <c r="G75">
        <f t="shared" si="1"/>
        <v>0.49847987933333332</v>
      </c>
    </row>
    <row r="76" spans="1:7" x14ac:dyDescent="0.25">
      <c r="A76" t="s">
        <v>75</v>
      </c>
      <c r="B76" s="13" t="s">
        <v>37</v>
      </c>
      <c r="C76">
        <v>-2.2434845179999998</v>
      </c>
      <c r="D76">
        <v>-2.1684768669999999</v>
      </c>
      <c r="E76">
        <v>2.4379517999999999E-2</v>
      </c>
      <c r="G76">
        <f t="shared" si="1"/>
        <v>-1.4625272889999998</v>
      </c>
    </row>
    <row r="77" spans="1:7" x14ac:dyDescent="0.25">
      <c r="A77" t="s">
        <v>75</v>
      </c>
      <c r="B77" s="13" t="s">
        <v>23</v>
      </c>
      <c r="C77">
        <v>-3.3108198190000002</v>
      </c>
      <c r="D77">
        <v>-0.13798807199999999</v>
      </c>
      <c r="E77">
        <v>-0.27955180699999999</v>
      </c>
      <c r="G77">
        <f t="shared" si="1"/>
        <v>-1.2427865660000001</v>
      </c>
    </row>
    <row r="78" spans="1:7" x14ac:dyDescent="0.25">
      <c r="A78" t="s">
        <v>75</v>
      </c>
      <c r="B78" s="13" t="s">
        <v>22</v>
      </c>
      <c r="C78">
        <v>-1.5161622290000001</v>
      </c>
      <c r="D78">
        <v>-8.3621746999999996E-2</v>
      </c>
      <c r="E78">
        <v>-0.87441204800000005</v>
      </c>
      <c r="G78">
        <f t="shared" si="1"/>
        <v>-0.82473200800000013</v>
      </c>
    </row>
    <row r="79" spans="1:7" x14ac:dyDescent="0.25">
      <c r="A79" t="s">
        <v>75</v>
      </c>
      <c r="B79" s="15" t="s">
        <v>73</v>
      </c>
      <c r="C79">
        <v>-3.2560471689999999</v>
      </c>
      <c r="D79">
        <v>-1.8955887950000001</v>
      </c>
      <c r="E79">
        <v>-0.55634060200000002</v>
      </c>
      <c r="G79">
        <f t="shared" si="1"/>
        <v>-1.9026588553333335</v>
      </c>
    </row>
    <row r="80" spans="1:7" x14ac:dyDescent="0.25">
      <c r="A80" t="s">
        <v>76</v>
      </c>
      <c r="B80" s="13" t="s">
        <v>17</v>
      </c>
      <c r="C80">
        <v>0.161798199</v>
      </c>
      <c r="D80">
        <v>-0.75383525100000004</v>
      </c>
      <c r="E80">
        <v>-0.50572463000000001</v>
      </c>
      <c r="G80">
        <f t="shared" si="1"/>
        <v>-0.36592056066666667</v>
      </c>
    </row>
    <row r="81" spans="1:7" x14ac:dyDescent="0.25">
      <c r="A81" t="s">
        <v>76</v>
      </c>
      <c r="B81" s="14">
        <v>1771</v>
      </c>
      <c r="C81">
        <v>0.69272485299999997</v>
      </c>
      <c r="D81">
        <v>-0.62313358299999999</v>
      </c>
      <c r="E81">
        <v>-0.86643236099999998</v>
      </c>
      <c r="G81">
        <f t="shared" si="1"/>
        <v>-0.26561369699999998</v>
      </c>
    </row>
    <row r="82" spans="1:7" x14ac:dyDescent="0.25">
      <c r="A82" t="s">
        <v>76</v>
      </c>
      <c r="B82" s="13" t="s">
        <v>70</v>
      </c>
      <c r="C82">
        <v>1.5023774750000001</v>
      </c>
      <c r="D82">
        <v>5.4270363829999999</v>
      </c>
      <c r="E82">
        <v>-0.40497668100000001</v>
      </c>
      <c r="G82">
        <f t="shared" si="1"/>
        <v>2.1748123923333336</v>
      </c>
    </row>
    <row r="83" spans="1:7" x14ac:dyDescent="0.25">
      <c r="A83" t="s">
        <v>76</v>
      </c>
      <c r="B83" s="13" t="s">
        <v>18</v>
      </c>
      <c r="C83">
        <v>1.6641756729999999</v>
      </c>
      <c r="D83">
        <v>7.484098983</v>
      </c>
      <c r="E83">
        <v>3.9036070999999999E-2</v>
      </c>
      <c r="G83">
        <f t="shared" si="1"/>
        <v>3.0624369090000001</v>
      </c>
    </row>
    <row r="84" spans="1:7" x14ac:dyDescent="0.25">
      <c r="A84" t="s">
        <v>76</v>
      </c>
      <c r="B84" s="13" t="s">
        <v>34</v>
      </c>
      <c r="C84">
        <v>1.224674024</v>
      </c>
      <c r="D84">
        <v>-0.800028937</v>
      </c>
      <c r="E84">
        <v>-0.47053803300000002</v>
      </c>
      <c r="G84">
        <f t="shared" si="1"/>
        <v>-1.5297648666666663E-2</v>
      </c>
    </row>
    <row r="85" spans="1:7" x14ac:dyDescent="0.25">
      <c r="A85" t="s">
        <v>76</v>
      </c>
      <c r="B85" s="13" t="s">
        <v>38</v>
      </c>
      <c r="C85">
        <v>-0.17334662000000001</v>
      </c>
      <c r="D85">
        <v>-0.67925169399999996</v>
      </c>
      <c r="E85">
        <v>-0.67871036200000001</v>
      </c>
      <c r="G85">
        <f t="shared" si="1"/>
        <v>-0.51043622533333333</v>
      </c>
    </row>
    <row r="86" spans="1:7" x14ac:dyDescent="0.25">
      <c r="A86" t="s">
        <v>76</v>
      </c>
      <c r="B86" s="13" t="s">
        <v>28</v>
      </c>
      <c r="C86">
        <v>1.9487961000000002E-2</v>
      </c>
      <c r="D86">
        <v>11.243350810000001</v>
      </c>
      <c r="E86">
        <v>-0.67449999999999999</v>
      </c>
      <c r="G86">
        <f t="shared" si="1"/>
        <v>3.529446257</v>
      </c>
    </row>
    <row r="87" spans="1:7" x14ac:dyDescent="0.25">
      <c r="A87" t="s">
        <v>76</v>
      </c>
      <c r="B87" s="13" t="s">
        <v>71</v>
      </c>
      <c r="C87">
        <v>0.91894159099999995</v>
      </c>
      <c r="D87">
        <v>36.150649719999997</v>
      </c>
      <c r="E87">
        <v>-0.30254458699999998</v>
      </c>
      <c r="G87">
        <f t="shared" si="1"/>
        <v>12.255682241333332</v>
      </c>
    </row>
    <row r="88" spans="1:7" x14ac:dyDescent="0.25">
      <c r="A88" t="s">
        <v>76</v>
      </c>
      <c r="B88" s="13" t="s">
        <v>31</v>
      </c>
      <c r="C88">
        <v>3.2522640900000002</v>
      </c>
      <c r="D88">
        <v>10.48548564</v>
      </c>
      <c r="E88">
        <v>0.366121054</v>
      </c>
      <c r="G88">
        <f t="shared" si="1"/>
        <v>4.7012902613333338</v>
      </c>
    </row>
    <row r="89" spans="1:7" x14ac:dyDescent="0.25">
      <c r="A89" t="s">
        <v>76</v>
      </c>
      <c r="B89" s="13" t="s">
        <v>32</v>
      </c>
      <c r="C89">
        <v>2.569102773</v>
      </c>
      <c r="D89">
        <v>3.474631354</v>
      </c>
      <c r="E89">
        <v>0.19866894099999999</v>
      </c>
      <c r="G89">
        <f t="shared" si="1"/>
        <v>2.0808010226666669</v>
      </c>
    </row>
    <row r="90" spans="1:7" x14ac:dyDescent="0.25">
      <c r="A90" t="s">
        <v>76</v>
      </c>
      <c r="B90" s="13" t="s">
        <v>36</v>
      </c>
      <c r="C90">
        <v>-0.243358926</v>
      </c>
      <c r="D90">
        <v>0.227239255</v>
      </c>
      <c r="E90">
        <v>-0.74102372000000005</v>
      </c>
      <c r="G90">
        <f t="shared" si="1"/>
        <v>-0.25238113033333337</v>
      </c>
    </row>
    <row r="91" spans="1:7" x14ac:dyDescent="0.25">
      <c r="A91" t="s">
        <v>76</v>
      </c>
      <c r="B91" s="13" t="s">
        <v>72</v>
      </c>
      <c r="C91">
        <v>0.226697922</v>
      </c>
      <c r="D91">
        <v>1.648176297</v>
      </c>
      <c r="E91">
        <v>-0.62884764599999998</v>
      </c>
      <c r="G91">
        <f t="shared" si="1"/>
        <v>0.41534219099999997</v>
      </c>
    </row>
    <row r="92" spans="1:7" x14ac:dyDescent="0.25">
      <c r="A92" t="s">
        <v>76</v>
      </c>
      <c r="B92" s="13" t="s">
        <v>35</v>
      </c>
      <c r="C92">
        <v>0.35000138200000003</v>
      </c>
      <c r="D92">
        <v>9.3125990729999994</v>
      </c>
      <c r="E92">
        <v>-0.118972802</v>
      </c>
      <c r="G92">
        <f t="shared" si="1"/>
        <v>3.1812092176666664</v>
      </c>
    </row>
    <row r="93" spans="1:7" x14ac:dyDescent="0.25">
      <c r="A93" t="s">
        <v>76</v>
      </c>
      <c r="B93" s="13" t="s">
        <v>20</v>
      </c>
      <c r="C93">
        <v>-0.14020505599999999</v>
      </c>
      <c r="D93">
        <v>5.5533472450000003</v>
      </c>
      <c r="E93">
        <v>-0.18555667000000001</v>
      </c>
      <c r="G93">
        <f t="shared" si="1"/>
        <v>1.7425285063333333</v>
      </c>
    </row>
    <row r="94" spans="1:7" x14ac:dyDescent="0.25">
      <c r="A94" t="s">
        <v>76</v>
      </c>
      <c r="B94" s="13" t="s">
        <v>25</v>
      </c>
      <c r="C94">
        <v>1.02792982</v>
      </c>
      <c r="D94">
        <v>-0.54139241100000002</v>
      </c>
      <c r="E94">
        <v>-0.77999964300000002</v>
      </c>
      <c r="G94">
        <f t="shared" si="1"/>
        <v>-9.7820744666666681E-2</v>
      </c>
    </row>
    <row r="95" spans="1:7" x14ac:dyDescent="0.25">
      <c r="A95" t="s">
        <v>76</v>
      </c>
      <c r="B95" s="13" t="s">
        <v>29</v>
      </c>
      <c r="C95">
        <v>-0.53134769000000004</v>
      </c>
      <c r="D95">
        <v>0.19548109499999999</v>
      </c>
      <c r="E95">
        <v>-0.73921927899999995</v>
      </c>
      <c r="G95">
        <f t="shared" si="1"/>
        <v>-0.35836195799999998</v>
      </c>
    </row>
    <row r="96" spans="1:7" x14ac:dyDescent="0.25">
      <c r="A96" t="s">
        <v>76</v>
      </c>
      <c r="B96" s="13" t="s">
        <v>21</v>
      </c>
      <c r="C96">
        <v>0.24991506199999999</v>
      </c>
      <c r="D96">
        <v>-0.40972837499999998</v>
      </c>
      <c r="E96">
        <v>-0.80117174999999996</v>
      </c>
      <c r="G96">
        <f t="shared" si="1"/>
        <v>-0.32032835433333334</v>
      </c>
    </row>
    <row r="97" spans="1:7" x14ac:dyDescent="0.25">
      <c r="A97" t="s">
        <v>76</v>
      </c>
      <c r="B97" s="13" t="s">
        <v>43</v>
      </c>
      <c r="C97">
        <v>1.432846353</v>
      </c>
      <c r="D97">
        <v>117.75348099999999</v>
      </c>
      <c r="E97">
        <v>0</v>
      </c>
      <c r="G97">
        <f t="shared" si="1"/>
        <v>39.72877578433333</v>
      </c>
    </row>
    <row r="98" spans="1:7" x14ac:dyDescent="0.25">
      <c r="A98" t="s">
        <v>76</v>
      </c>
      <c r="B98" s="13" t="s">
        <v>19</v>
      </c>
      <c r="C98">
        <v>0.29881540899999998</v>
      </c>
      <c r="D98">
        <v>-0.92495639399999996</v>
      </c>
      <c r="E98">
        <v>-0.639493847</v>
      </c>
      <c r="G98">
        <f t="shared" si="1"/>
        <v>-0.42187827733333333</v>
      </c>
    </row>
    <row r="99" spans="1:7" x14ac:dyDescent="0.25">
      <c r="A99" t="s">
        <v>76</v>
      </c>
      <c r="B99" s="13" t="s">
        <v>26</v>
      </c>
      <c r="C99">
        <v>-0.23632160699999999</v>
      </c>
      <c r="D99">
        <v>-2.0450329999999999E-2</v>
      </c>
      <c r="E99">
        <v>-0.824990369</v>
      </c>
      <c r="G99">
        <f t="shared" si="1"/>
        <v>-0.36058743533333332</v>
      </c>
    </row>
    <row r="100" spans="1:7" x14ac:dyDescent="0.25">
      <c r="A100" t="s">
        <v>76</v>
      </c>
      <c r="B100" s="13" t="s">
        <v>24</v>
      </c>
      <c r="C100">
        <v>0.47691372399999998</v>
      </c>
      <c r="D100">
        <v>117.75348099999999</v>
      </c>
      <c r="E100">
        <v>-0.41622436200000001</v>
      </c>
      <c r="G100">
        <f t="shared" si="1"/>
        <v>39.271390120666666</v>
      </c>
    </row>
    <row r="101" spans="1:7" x14ac:dyDescent="0.25">
      <c r="A101" t="s">
        <v>76</v>
      </c>
      <c r="B101" s="13" t="s">
        <v>30</v>
      </c>
      <c r="C101">
        <v>4.0780364E-2</v>
      </c>
      <c r="D101">
        <v>1.518617442</v>
      </c>
      <c r="E101">
        <v>-0.61838188900000002</v>
      </c>
      <c r="G101">
        <f t="shared" si="1"/>
        <v>0.31367197233333333</v>
      </c>
    </row>
    <row r="102" spans="1:7" x14ac:dyDescent="0.25">
      <c r="A102" t="s">
        <v>76</v>
      </c>
      <c r="B102" s="13" t="s">
        <v>37</v>
      </c>
      <c r="C102">
        <v>-0.40726230600000002</v>
      </c>
      <c r="D102">
        <v>3.4887059929999999</v>
      </c>
      <c r="E102">
        <v>-0.31054427499999998</v>
      </c>
      <c r="G102">
        <f t="shared" si="1"/>
        <v>0.92363313733333341</v>
      </c>
    </row>
    <row r="103" spans="1:7" x14ac:dyDescent="0.25">
      <c r="A103" t="s">
        <v>76</v>
      </c>
      <c r="B103" s="13" t="s">
        <v>23</v>
      </c>
      <c r="C103">
        <v>-0.742226681</v>
      </c>
      <c r="D103">
        <v>1.8128616019999999</v>
      </c>
      <c r="E103">
        <v>-0.64358391299999995</v>
      </c>
      <c r="G103">
        <f t="shared" si="1"/>
        <v>0.14235033599999999</v>
      </c>
    </row>
    <row r="104" spans="1:7" x14ac:dyDescent="0.25">
      <c r="A104" t="s">
        <v>76</v>
      </c>
      <c r="B104" s="13" t="s">
        <v>22</v>
      </c>
      <c r="C104">
        <v>-0.54241492800000002</v>
      </c>
      <c r="D104">
        <v>3.136118245</v>
      </c>
      <c r="E104">
        <v>-0.69332633300000002</v>
      </c>
      <c r="G104">
        <f t="shared" si="1"/>
        <v>0.63345899466666677</v>
      </c>
    </row>
    <row r="105" spans="1:7" x14ac:dyDescent="0.25">
      <c r="A105" t="s">
        <v>76</v>
      </c>
      <c r="B105" s="15" t="s">
        <v>73</v>
      </c>
      <c r="C105">
        <v>-0.77500735700000001</v>
      </c>
      <c r="D105">
        <v>-0.479740681</v>
      </c>
      <c r="E105">
        <v>-0.619945737</v>
      </c>
      <c r="G105">
        <f t="shared" si="1"/>
        <v>-0.62489792499999997</v>
      </c>
    </row>
    <row r="106" spans="1:7" x14ac:dyDescent="0.25">
      <c r="A106" t="s">
        <v>78</v>
      </c>
      <c r="B106" s="13" t="s">
        <v>17</v>
      </c>
      <c r="C106">
        <v>-0.81171895800000005</v>
      </c>
      <c r="D106">
        <v>0.69816472500000004</v>
      </c>
      <c r="E106">
        <v>-0.14636209999999999</v>
      </c>
      <c r="G106">
        <f t="shared" si="1"/>
        <v>-8.6638777666666666E-2</v>
      </c>
    </row>
    <row r="107" spans="1:7" x14ac:dyDescent="0.25">
      <c r="A107" t="s">
        <v>78</v>
      </c>
      <c r="B107" s="14">
        <v>1771</v>
      </c>
      <c r="C107">
        <v>-0.90368690500000004</v>
      </c>
      <c r="D107">
        <v>0.82487534399999995</v>
      </c>
      <c r="E107">
        <v>-0.36457993999999999</v>
      </c>
      <c r="G107">
        <f t="shared" si="1"/>
        <v>-0.14779716700000003</v>
      </c>
    </row>
    <row r="108" spans="1:7" x14ac:dyDescent="0.25">
      <c r="A108" t="s">
        <v>78</v>
      </c>
      <c r="B108" s="13" t="s">
        <v>70</v>
      </c>
      <c r="C108">
        <v>-0.80088678400000002</v>
      </c>
      <c r="D108">
        <v>0.49801748800000001</v>
      </c>
      <c r="E108">
        <v>0.121405057</v>
      </c>
      <c r="G108">
        <f t="shared" si="1"/>
        <v>-6.0488079666666673E-2</v>
      </c>
    </row>
    <row r="109" spans="1:7" x14ac:dyDescent="0.25">
      <c r="A109" t="s">
        <v>78</v>
      </c>
      <c r="B109" s="13" t="s">
        <v>18</v>
      </c>
      <c r="C109">
        <v>-0.75412088200000005</v>
      </c>
      <c r="D109">
        <v>0.744439988</v>
      </c>
      <c r="E109">
        <v>0.71905728499999999</v>
      </c>
      <c r="G109">
        <f t="shared" si="1"/>
        <v>0.23645879699999997</v>
      </c>
    </row>
    <row r="110" spans="1:7" x14ac:dyDescent="0.25">
      <c r="A110" t="s">
        <v>78</v>
      </c>
      <c r="B110" s="13" t="s">
        <v>34</v>
      </c>
      <c r="C110">
        <v>-0.73104634400000001</v>
      </c>
      <c r="D110">
        <v>0.95424501399999995</v>
      </c>
      <c r="E110">
        <v>0.75545649100000001</v>
      </c>
      <c r="G110">
        <f t="shared" si="1"/>
        <v>0.326218387</v>
      </c>
    </row>
    <row r="111" spans="1:7" x14ac:dyDescent="0.25">
      <c r="A111" t="s">
        <v>78</v>
      </c>
      <c r="B111" s="13" t="s">
        <v>38</v>
      </c>
      <c r="C111">
        <v>-0.77420766900000004</v>
      </c>
      <c r="D111">
        <v>0.95073140899999997</v>
      </c>
      <c r="E111">
        <v>0.118896127</v>
      </c>
      <c r="G111">
        <f t="shared" si="1"/>
        <v>9.8473288999999978E-2</v>
      </c>
    </row>
    <row r="112" spans="1:7" x14ac:dyDescent="0.25">
      <c r="A112" t="s">
        <v>78</v>
      </c>
      <c r="B112" s="13" t="s">
        <v>28</v>
      </c>
      <c r="C112">
        <v>-0.67449999999999999</v>
      </c>
      <c r="D112">
        <v>0.35788112700000002</v>
      </c>
      <c r="E112">
        <v>0.62094358400000005</v>
      </c>
      <c r="G112">
        <f t="shared" si="1"/>
        <v>0.10144157033333336</v>
      </c>
    </row>
    <row r="113" spans="1:7" x14ac:dyDescent="0.25">
      <c r="A113" t="s">
        <v>78</v>
      </c>
      <c r="B113" s="13" t="s">
        <v>71</v>
      </c>
      <c r="C113">
        <v>-0.50388075799999998</v>
      </c>
      <c r="D113">
        <v>0.61210655199999997</v>
      </c>
      <c r="E113">
        <v>-6.6067699999999993E-2</v>
      </c>
      <c r="G113">
        <f t="shared" si="1"/>
        <v>1.4052697999999997E-2</v>
      </c>
    </row>
    <row r="114" spans="1:7" x14ac:dyDescent="0.25">
      <c r="A114" t="s">
        <v>78</v>
      </c>
      <c r="B114" s="13" t="s">
        <v>31</v>
      </c>
      <c r="C114">
        <v>-0.52225549100000002</v>
      </c>
      <c r="D114">
        <v>0.40213198100000003</v>
      </c>
      <c r="E114">
        <v>0.29487656400000001</v>
      </c>
      <c r="G114">
        <f t="shared" si="1"/>
        <v>5.8251018000000009E-2</v>
      </c>
    </row>
    <row r="115" spans="1:7" x14ac:dyDescent="0.25">
      <c r="A115" t="s">
        <v>78</v>
      </c>
      <c r="B115" s="13" t="s">
        <v>32</v>
      </c>
      <c r="C115">
        <v>-0.57171494700000003</v>
      </c>
      <c r="D115">
        <v>0.83047294999999999</v>
      </c>
      <c r="E115">
        <v>0.53544230900000001</v>
      </c>
      <c r="G115">
        <f t="shared" si="1"/>
        <v>0.26473343733333332</v>
      </c>
    </row>
    <row r="116" spans="1:7" x14ac:dyDescent="0.25">
      <c r="A116" t="s">
        <v>78</v>
      </c>
      <c r="B116" s="13" t="s">
        <v>36</v>
      </c>
      <c r="C116">
        <v>-0.61024464499999997</v>
      </c>
      <c r="D116">
        <v>1.8156745329999999</v>
      </c>
      <c r="E116">
        <v>-0.41053743999999998</v>
      </c>
      <c r="G116">
        <f t="shared" si="1"/>
        <v>0.26496414933333329</v>
      </c>
    </row>
    <row r="117" spans="1:7" x14ac:dyDescent="0.25">
      <c r="A117" t="s">
        <v>78</v>
      </c>
      <c r="B117" s="13" t="s">
        <v>72</v>
      </c>
      <c r="C117">
        <v>-0.41169688799999998</v>
      </c>
      <c r="D117">
        <v>1.360028606</v>
      </c>
      <c r="E117">
        <v>-7.0307590000000001E-3</v>
      </c>
      <c r="G117">
        <f t="shared" si="1"/>
        <v>0.31376698633333328</v>
      </c>
    </row>
    <row r="118" spans="1:7" x14ac:dyDescent="0.25">
      <c r="A118" t="s">
        <v>78</v>
      </c>
      <c r="B118" s="13" t="s">
        <v>35</v>
      </c>
      <c r="C118">
        <v>-0.79329340199999998</v>
      </c>
      <c r="D118">
        <v>1.1734122170000001</v>
      </c>
      <c r="E118">
        <v>0.58992881699999999</v>
      </c>
      <c r="G118">
        <f t="shared" si="1"/>
        <v>0.32334921066666672</v>
      </c>
    </row>
    <row r="119" spans="1:7" x14ac:dyDescent="0.25">
      <c r="A119" t="s">
        <v>78</v>
      </c>
      <c r="B119" s="13" t="s">
        <v>20</v>
      </c>
      <c r="C119">
        <v>-1.0498646920000001</v>
      </c>
      <c r="D119">
        <v>0.828232529</v>
      </c>
      <c r="E119">
        <v>0.584627428</v>
      </c>
      <c r="G119">
        <f t="shared" si="1"/>
        <v>0.12099842166666663</v>
      </c>
    </row>
    <row r="120" spans="1:7" x14ac:dyDescent="0.25">
      <c r="A120" t="s">
        <v>78</v>
      </c>
      <c r="B120" s="13" t="s">
        <v>25</v>
      </c>
      <c r="C120">
        <v>-0.710433804</v>
      </c>
      <c r="D120">
        <v>3.192683953</v>
      </c>
      <c r="E120">
        <v>-0.10925794699999999</v>
      </c>
      <c r="G120">
        <f t="shared" si="1"/>
        <v>0.79099740066666657</v>
      </c>
    </row>
    <row r="121" spans="1:7" x14ac:dyDescent="0.25">
      <c r="A121" t="s">
        <v>78</v>
      </c>
      <c r="B121" s="13" t="s">
        <v>29</v>
      </c>
      <c r="C121">
        <v>-0.53499868500000003</v>
      </c>
      <c r="D121">
        <v>1.41436026</v>
      </c>
      <c r="E121">
        <v>-0.21407922500000001</v>
      </c>
      <c r="G121">
        <f t="shared" si="1"/>
        <v>0.22176078333333335</v>
      </c>
    </row>
    <row r="122" spans="1:7" x14ac:dyDescent="0.25">
      <c r="A122" t="s">
        <v>78</v>
      </c>
      <c r="B122" s="13" t="s">
        <v>21</v>
      </c>
      <c r="C122">
        <v>-0.92348233599999996</v>
      </c>
      <c r="D122">
        <v>1.3952344670000001</v>
      </c>
      <c r="E122">
        <v>-0.464071181</v>
      </c>
      <c r="G122">
        <f t="shared" si="1"/>
        <v>2.5603166666667101E-3</v>
      </c>
    </row>
    <row r="123" spans="1:7" x14ac:dyDescent="0.25">
      <c r="A123" t="s">
        <v>78</v>
      </c>
      <c r="B123" s="13" t="s">
        <v>43</v>
      </c>
      <c r="C123">
        <v>-0.72584907700000001</v>
      </c>
      <c r="D123">
        <v>0.245771136</v>
      </c>
      <c r="E123">
        <v>-9.1516341000000001E-2</v>
      </c>
      <c r="G123">
        <f t="shared" si="1"/>
        <v>-0.19053142733333331</v>
      </c>
    </row>
    <row r="124" spans="1:7" x14ac:dyDescent="0.25">
      <c r="A124" t="s">
        <v>78</v>
      </c>
      <c r="B124" s="13" t="s">
        <v>19</v>
      </c>
      <c r="C124">
        <v>-0.396406225</v>
      </c>
      <c r="D124">
        <v>0.81928920800000005</v>
      </c>
      <c r="E124">
        <v>0</v>
      </c>
      <c r="G124">
        <f t="shared" si="1"/>
        <v>0.14096099433333334</v>
      </c>
    </row>
    <row r="125" spans="1:7" x14ac:dyDescent="0.25">
      <c r="A125" t="s">
        <v>78</v>
      </c>
      <c r="B125" s="13" t="s">
        <v>26</v>
      </c>
      <c r="C125">
        <v>-0.63206490900000001</v>
      </c>
      <c r="D125">
        <v>2.2687206560000002</v>
      </c>
      <c r="E125">
        <v>-5.4707649999999998E-3</v>
      </c>
      <c r="G125">
        <f t="shared" si="1"/>
        <v>0.54372832733333343</v>
      </c>
    </row>
    <row r="126" spans="1:7" x14ac:dyDescent="0.25">
      <c r="A126" t="s">
        <v>78</v>
      </c>
      <c r="B126" s="13" t="s">
        <v>24</v>
      </c>
      <c r="C126">
        <v>-0.74839996200000003</v>
      </c>
      <c r="D126">
        <v>0.26005987600000002</v>
      </c>
      <c r="E126">
        <v>0.51896122099999997</v>
      </c>
      <c r="G126">
        <f t="shared" si="1"/>
        <v>1.0207044999999989E-2</v>
      </c>
    </row>
    <row r="127" spans="1:7" x14ac:dyDescent="0.25">
      <c r="A127" t="s">
        <v>78</v>
      </c>
      <c r="B127" s="13" t="s">
        <v>30</v>
      </c>
      <c r="C127">
        <v>-0.84031325300000004</v>
      </c>
      <c r="D127">
        <v>2.2176951589999998</v>
      </c>
      <c r="E127">
        <v>0.36300412599999998</v>
      </c>
      <c r="G127">
        <f t="shared" si="1"/>
        <v>0.58012867733333318</v>
      </c>
    </row>
    <row r="128" spans="1:7" x14ac:dyDescent="0.25">
      <c r="A128" t="s">
        <v>78</v>
      </c>
      <c r="B128" s="13" t="s">
        <v>37</v>
      </c>
      <c r="C128">
        <v>-1.021589219</v>
      </c>
      <c r="D128">
        <v>2.0572034239999999</v>
      </c>
      <c r="E128">
        <v>0.56880342699999997</v>
      </c>
      <c r="G128">
        <f t="shared" si="1"/>
        <v>0.53480587733333329</v>
      </c>
    </row>
    <row r="129" spans="1:10" x14ac:dyDescent="0.25">
      <c r="A129" t="s">
        <v>78</v>
      </c>
      <c r="B129" s="13" t="s">
        <v>23</v>
      </c>
      <c r="C129">
        <v>-1.1293565569999999</v>
      </c>
      <c r="D129">
        <v>2.2775924019999998</v>
      </c>
      <c r="E129">
        <v>-0.61039316300000002</v>
      </c>
      <c r="G129">
        <f t="shared" si="1"/>
        <v>0.17928089399999994</v>
      </c>
    </row>
    <row r="130" spans="1:10" x14ac:dyDescent="0.25">
      <c r="A130" t="s">
        <v>78</v>
      </c>
      <c r="B130" s="13" t="s">
        <v>22</v>
      </c>
      <c r="C130">
        <v>-1.0833661290000001</v>
      </c>
      <c r="D130">
        <v>1.5103892000000001</v>
      </c>
      <c r="E130">
        <v>-0.20367659299999999</v>
      </c>
      <c r="G130">
        <f t="shared" si="1"/>
        <v>7.444882600000001E-2</v>
      </c>
    </row>
    <row r="131" spans="1:10" x14ac:dyDescent="0.25">
      <c r="A131" t="s">
        <v>78</v>
      </c>
      <c r="B131" s="15" t="s">
        <v>73</v>
      </c>
      <c r="C131">
        <v>-1.1108843610000001</v>
      </c>
      <c r="D131">
        <v>1.091099152</v>
      </c>
      <c r="E131">
        <v>-4.8639653999999997E-2</v>
      </c>
      <c r="F131" s="16"/>
      <c r="G131">
        <f t="shared" ref="G131:G183" si="2">AVERAGE(C131:E131)</f>
        <v>-2.2808287666666715E-2</v>
      </c>
      <c r="H131" s="16"/>
      <c r="I131" s="16"/>
      <c r="J131" s="16"/>
    </row>
    <row r="132" spans="1:10" x14ac:dyDescent="0.25">
      <c r="A132" t="s">
        <v>79</v>
      </c>
      <c r="B132" s="13" t="s">
        <v>17</v>
      </c>
      <c r="C132">
        <v>-0.28210891399999999</v>
      </c>
      <c r="D132">
        <v>-0.71149788999999997</v>
      </c>
      <c r="E132">
        <v>-0.50943248900000004</v>
      </c>
      <c r="G132">
        <f t="shared" si="2"/>
        <v>-0.50101309766666668</v>
      </c>
    </row>
    <row r="133" spans="1:10" x14ac:dyDescent="0.25">
      <c r="A133" t="s">
        <v>79</v>
      </c>
      <c r="B133" s="14">
        <v>1771</v>
      </c>
      <c r="C133">
        <v>0.53646940899999995</v>
      </c>
      <c r="D133">
        <v>-0.69726793200000003</v>
      </c>
      <c r="E133">
        <v>-0.67449999999999999</v>
      </c>
      <c r="G133">
        <f t="shared" si="2"/>
        <v>-0.27843284100000004</v>
      </c>
    </row>
    <row r="134" spans="1:10" x14ac:dyDescent="0.25">
      <c r="A134" t="s">
        <v>79</v>
      </c>
      <c r="B134" s="13" t="s">
        <v>70</v>
      </c>
      <c r="C134">
        <v>0.127002373</v>
      </c>
      <c r="D134">
        <v>4.6546191979999998</v>
      </c>
      <c r="E134">
        <v>-0.36072943000000002</v>
      </c>
      <c r="G134">
        <f t="shared" si="2"/>
        <v>1.4736307136666664</v>
      </c>
    </row>
    <row r="135" spans="1:10" x14ac:dyDescent="0.25">
      <c r="A135" t="s">
        <v>79</v>
      </c>
      <c r="B135" s="13" t="s">
        <v>18</v>
      </c>
      <c r="C135">
        <v>0</v>
      </c>
      <c r="D135">
        <v>8.5248119730000003</v>
      </c>
      <c r="E135">
        <v>0.57631329099999995</v>
      </c>
      <c r="G135">
        <f t="shared" si="2"/>
        <v>3.0337084213333334</v>
      </c>
    </row>
    <row r="136" spans="1:10" x14ac:dyDescent="0.25">
      <c r="A136" t="s">
        <v>79</v>
      </c>
      <c r="B136" s="13" t="s">
        <v>34</v>
      </c>
      <c r="C136">
        <v>0.22341033800000001</v>
      </c>
      <c r="D136">
        <v>-0.68268222599999995</v>
      </c>
      <c r="E136">
        <v>-0.34970121300000001</v>
      </c>
      <c r="G136">
        <f t="shared" si="2"/>
        <v>-0.26965770033333331</v>
      </c>
    </row>
    <row r="137" spans="1:10" x14ac:dyDescent="0.25">
      <c r="A137" t="s">
        <v>79</v>
      </c>
      <c r="B137" s="13" t="s">
        <v>38</v>
      </c>
      <c r="C137">
        <v>-0.56741956800000004</v>
      </c>
      <c r="D137">
        <v>-0.68268222599999995</v>
      </c>
      <c r="E137">
        <v>-0.67449999999999999</v>
      </c>
      <c r="G137">
        <f t="shared" si="2"/>
        <v>-0.64153393133333336</v>
      </c>
    </row>
    <row r="138" spans="1:10" x14ac:dyDescent="0.25">
      <c r="A138" t="s">
        <v>79</v>
      </c>
      <c r="B138" s="13" t="s">
        <v>28</v>
      </c>
      <c r="C138">
        <v>-0.58698575900000005</v>
      </c>
      <c r="D138">
        <v>7.7482120249999999</v>
      </c>
      <c r="E138">
        <v>-0.67449999999999999</v>
      </c>
      <c r="G138">
        <f t="shared" si="2"/>
        <v>2.1622420886666665</v>
      </c>
    </row>
    <row r="139" spans="1:10" x14ac:dyDescent="0.25">
      <c r="A139" t="s">
        <v>79</v>
      </c>
      <c r="B139" s="13" t="s">
        <v>71</v>
      </c>
      <c r="C139">
        <v>2.9882911000000002E-2</v>
      </c>
      <c r="D139">
        <v>10.482498420000001</v>
      </c>
      <c r="E139">
        <v>0.56955406099999994</v>
      </c>
      <c r="G139">
        <f t="shared" si="2"/>
        <v>3.6939784640000002</v>
      </c>
    </row>
    <row r="140" spans="1:10" x14ac:dyDescent="0.25">
      <c r="A140" t="s">
        <v>79</v>
      </c>
      <c r="B140" s="13" t="s">
        <v>31</v>
      </c>
      <c r="C140">
        <v>1.447542458</v>
      </c>
      <c r="D140">
        <v>6.191454641</v>
      </c>
      <c r="E140">
        <v>2.5585464139999998</v>
      </c>
      <c r="G140">
        <f t="shared" si="2"/>
        <v>3.3991811709999999</v>
      </c>
    </row>
    <row r="141" spans="1:10" x14ac:dyDescent="0.25">
      <c r="A141" t="s">
        <v>79</v>
      </c>
      <c r="B141" s="13" t="s">
        <v>32</v>
      </c>
      <c r="C141">
        <v>0.67948048500000002</v>
      </c>
      <c r="D141">
        <v>1.8061373949999999</v>
      </c>
      <c r="E141">
        <v>1.660991825</v>
      </c>
      <c r="G141">
        <f t="shared" si="2"/>
        <v>1.3822032349999998</v>
      </c>
    </row>
    <row r="142" spans="1:10" x14ac:dyDescent="0.25">
      <c r="A142" t="s">
        <v>79</v>
      </c>
      <c r="B142" s="13" t="s">
        <v>36</v>
      </c>
      <c r="C142">
        <v>-0.65777980000000003</v>
      </c>
      <c r="D142">
        <v>0.15012605500000001</v>
      </c>
      <c r="E142">
        <v>-0.67449999999999999</v>
      </c>
      <c r="G142">
        <f t="shared" si="2"/>
        <v>-0.39405124833333333</v>
      </c>
    </row>
    <row r="143" spans="1:10" x14ac:dyDescent="0.25">
      <c r="A143" t="s">
        <v>79</v>
      </c>
      <c r="B143" s="13" t="s">
        <v>72</v>
      </c>
      <c r="C143">
        <v>1.573121835</v>
      </c>
      <c r="D143">
        <v>1.8392220459999999</v>
      </c>
      <c r="E143">
        <v>-0.67449999999999999</v>
      </c>
      <c r="G143">
        <f t="shared" si="2"/>
        <v>0.91261462699999996</v>
      </c>
    </row>
    <row r="144" spans="1:10" x14ac:dyDescent="0.25">
      <c r="A144" t="s">
        <v>79</v>
      </c>
      <c r="B144" s="13" t="s">
        <v>35</v>
      </c>
      <c r="C144">
        <v>0.442551688</v>
      </c>
      <c r="D144">
        <v>7.8086893460000004</v>
      </c>
      <c r="E144">
        <v>1.928515032</v>
      </c>
      <c r="G144">
        <f t="shared" si="2"/>
        <v>3.393252022</v>
      </c>
    </row>
    <row r="145" spans="1:7" x14ac:dyDescent="0.25">
      <c r="A145" t="s">
        <v>79</v>
      </c>
      <c r="B145" s="13" t="s">
        <v>20</v>
      </c>
      <c r="C145">
        <v>-0.359662184</v>
      </c>
      <c r="D145">
        <v>7.4817560649999999</v>
      </c>
      <c r="E145">
        <v>-0.119175897</v>
      </c>
      <c r="G145">
        <f t="shared" si="2"/>
        <v>2.3343059946666664</v>
      </c>
    </row>
    <row r="146" spans="1:7" x14ac:dyDescent="0.25">
      <c r="A146" t="s">
        <v>79</v>
      </c>
      <c r="B146" s="13" t="s">
        <v>25</v>
      </c>
      <c r="C146">
        <v>1.162943302</v>
      </c>
      <c r="D146">
        <v>-9.1783227999999994E-2</v>
      </c>
      <c r="E146">
        <v>-0.67449999999999999</v>
      </c>
      <c r="G146">
        <f t="shared" si="2"/>
        <v>0.13222002466666669</v>
      </c>
    </row>
    <row r="147" spans="1:7" x14ac:dyDescent="0.25">
      <c r="A147" t="s">
        <v>79</v>
      </c>
      <c r="B147" s="13" t="s">
        <v>29</v>
      </c>
      <c r="C147">
        <v>-0.56350632899999997</v>
      </c>
      <c r="D147">
        <v>0.48168407200000002</v>
      </c>
      <c r="E147">
        <v>-0.67449999999999999</v>
      </c>
      <c r="G147">
        <f t="shared" si="2"/>
        <v>-0.25210741899999994</v>
      </c>
    </row>
    <row r="148" spans="1:7" x14ac:dyDescent="0.25">
      <c r="A148" t="s">
        <v>79</v>
      </c>
      <c r="B148" s="13" t="s">
        <v>21</v>
      </c>
      <c r="C148">
        <v>0.57240005299999996</v>
      </c>
      <c r="D148">
        <v>-0.471011603</v>
      </c>
      <c r="E148">
        <v>-0.67449999999999999</v>
      </c>
      <c r="G148">
        <f t="shared" si="2"/>
        <v>-0.19103718333333333</v>
      </c>
    </row>
    <row r="149" spans="1:7" x14ac:dyDescent="0.25">
      <c r="A149" t="s">
        <v>79</v>
      </c>
      <c r="B149" s="13" t="s">
        <v>43</v>
      </c>
      <c r="C149">
        <v>0.64034810099999995</v>
      </c>
      <c r="D149">
        <v>34.616151109999997</v>
      </c>
      <c r="E149">
        <v>1.1273684070000001</v>
      </c>
      <c r="G149">
        <f t="shared" si="2"/>
        <v>12.127955872666666</v>
      </c>
    </row>
    <row r="150" spans="1:7" x14ac:dyDescent="0.25">
      <c r="A150" t="s">
        <v>79</v>
      </c>
      <c r="B150" s="13" t="s">
        <v>19</v>
      </c>
      <c r="C150">
        <v>-7.4707280000000003E-3</v>
      </c>
      <c r="D150">
        <v>-0.68268222599999995</v>
      </c>
      <c r="E150">
        <v>-0.59587948300000004</v>
      </c>
      <c r="G150">
        <f t="shared" si="2"/>
        <v>-0.42867747900000003</v>
      </c>
    </row>
    <row r="151" spans="1:7" x14ac:dyDescent="0.25">
      <c r="A151" t="s">
        <v>79</v>
      </c>
      <c r="B151" s="13" t="s">
        <v>26</v>
      </c>
      <c r="C151">
        <v>-0.70473865999999996</v>
      </c>
      <c r="D151">
        <v>0.577380538</v>
      </c>
      <c r="E151">
        <v>-0.67449999999999999</v>
      </c>
      <c r="G151">
        <f t="shared" si="2"/>
        <v>-0.26728604066666667</v>
      </c>
    </row>
    <row r="152" spans="1:7" x14ac:dyDescent="0.25">
      <c r="A152" t="s">
        <v>79</v>
      </c>
      <c r="B152" s="13" t="s">
        <v>24</v>
      </c>
      <c r="C152">
        <v>0.37744963100000001</v>
      </c>
      <c r="D152">
        <v>47.889855750000002</v>
      </c>
      <c r="E152">
        <v>-0.19815216199999999</v>
      </c>
      <c r="G152">
        <f t="shared" si="2"/>
        <v>16.023051073000001</v>
      </c>
    </row>
    <row r="153" spans="1:7" x14ac:dyDescent="0.25">
      <c r="A153" t="s">
        <v>79</v>
      </c>
      <c r="B153" s="13" t="s">
        <v>30</v>
      </c>
      <c r="C153">
        <v>-0.33653850200000002</v>
      </c>
      <c r="D153">
        <v>1.5724103380000001</v>
      </c>
      <c r="E153">
        <v>-0.61046518999999999</v>
      </c>
      <c r="G153">
        <f t="shared" si="2"/>
        <v>0.20846888200000002</v>
      </c>
    </row>
    <row r="154" spans="1:7" x14ac:dyDescent="0.25">
      <c r="A154" t="s">
        <v>79</v>
      </c>
      <c r="B154" s="13" t="s">
        <v>37</v>
      </c>
      <c r="C154">
        <v>-0.34436497900000002</v>
      </c>
      <c r="D154">
        <v>2.5535659279999998</v>
      </c>
      <c r="E154">
        <v>1.1892687239999999</v>
      </c>
      <c r="G154">
        <f t="shared" si="2"/>
        <v>1.1328232243333334</v>
      </c>
    </row>
    <row r="155" spans="1:7" x14ac:dyDescent="0.25">
      <c r="A155" t="s">
        <v>79</v>
      </c>
      <c r="B155" s="13" t="s">
        <v>23</v>
      </c>
      <c r="C155">
        <v>-0.71825711999999997</v>
      </c>
      <c r="D155">
        <v>1.812896624</v>
      </c>
      <c r="E155">
        <v>-0.67449999999999999</v>
      </c>
      <c r="G155">
        <f t="shared" si="2"/>
        <v>0.1400465013333333</v>
      </c>
    </row>
    <row r="156" spans="1:7" x14ac:dyDescent="0.25">
      <c r="A156" t="s">
        <v>79</v>
      </c>
      <c r="B156" s="13" t="s">
        <v>22</v>
      </c>
      <c r="C156">
        <v>-0.57133280600000003</v>
      </c>
      <c r="D156">
        <v>2.5663728899999998</v>
      </c>
      <c r="E156">
        <v>-0.67449999999999999</v>
      </c>
      <c r="G156">
        <f t="shared" si="2"/>
        <v>0.44018002799999989</v>
      </c>
    </row>
    <row r="157" spans="1:7" x14ac:dyDescent="0.25">
      <c r="A157" t="s">
        <v>79</v>
      </c>
      <c r="B157" s="15" t="s">
        <v>73</v>
      </c>
      <c r="C157">
        <v>-0.67343275300000005</v>
      </c>
      <c r="D157">
        <v>-0.68268222599999995</v>
      </c>
      <c r="E157">
        <v>-0.67449999999999999</v>
      </c>
      <c r="G157">
        <f t="shared" si="2"/>
        <v>-0.67687165966666674</v>
      </c>
    </row>
    <row r="158" spans="1:7" x14ac:dyDescent="0.25">
      <c r="A158" t="s">
        <v>80</v>
      </c>
      <c r="B158" s="13" t="s">
        <v>17</v>
      </c>
      <c r="C158">
        <v>-0.47414461707481298</v>
      </c>
      <c r="D158">
        <v>-6.82932147877401E-2</v>
      </c>
      <c r="E158">
        <v>3.3983566304412798</v>
      </c>
      <c r="G158">
        <f t="shared" si="2"/>
        <v>0.95197293285957552</v>
      </c>
    </row>
    <row r="159" spans="1:7" x14ac:dyDescent="0.25">
      <c r="A159" t="s">
        <v>80</v>
      </c>
      <c r="B159" s="14">
        <v>1771</v>
      </c>
      <c r="C159">
        <v>-0.27206387193779802</v>
      </c>
      <c r="D159">
        <v>-0.294601376045313</v>
      </c>
      <c r="E159">
        <v>1.0930701990727001</v>
      </c>
      <c r="G159">
        <f t="shared" si="2"/>
        <v>0.17546831702986301</v>
      </c>
    </row>
    <row r="160" spans="1:7" x14ac:dyDescent="0.25">
      <c r="A160" t="s">
        <v>80</v>
      </c>
      <c r="B160" s="13" t="s">
        <v>70</v>
      </c>
      <c r="C160">
        <v>0.41355697307504802</v>
      </c>
      <c r="D160">
        <v>0.29803442364735999</v>
      </c>
      <c r="E160">
        <v>1.23562587637905</v>
      </c>
      <c r="G160">
        <f t="shared" si="2"/>
        <v>0.64907242436715273</v>
      </c>
    </row>
    <row r="161" spans="1:7" x14ac:dyDescent="0.25">
      <c r="A161" t="s">
        <v>80</v>
      </c>
      <c r="B161" s="13" t="s">
        <v>18</v>
      </c>
      <c r="C161">
        <v>0.48310539239438299</v>
      </c>
      <c r="D161">
        <v>1.1880339827253601</v>
      </c>
      <c r="E161">
        <v>0.20597167355735199</v>
      </c>
      <c r="G161">
        <f t="shared" si="2"/>
        <v>0.625703682892365</v>
      </c>
    </row>
    <row r="162" spans="1:7" x14ac:dyDescent="0.25">
      <c r="A162" t="s">
        <v>80</v>
      </c>
      <c r="B162" s="13" t="s">
        <v>34</v>
      </c>
      <c r="C162">
        <v>-6.82932147877401E-2</v>
      </c>
      <c r="D162">
        <v>2.0800604184517901</v>
      </c>
      <c r="E162">
        <v>0.22895758530888599</v>
      </c>
      <c r="G162">
        <f t="shared" si="2"/>
        <v>0.74690826299097868</v>
      </c>
    </row>
    <row r="163" spans="1:7" x14ac:dyDescent="0.25">
      <c r="A163" t="s">
        <v>80</v>
      </c>
      <c r="B163" s="13" t="s">
        <v>38</v>
      </c>
      <c r="C163">
        <v>-4.5549196196284399E-2</v>
      </c>
      <c r="D163">
        <v>1.9581116380841299</v>
      </c>
      <c r="E163">
        <v>0.62272566950735797</v>
      </c>
      <c r="G163">
        <f t="shared" si="2"/>
        <v>0.84509603713173453</v>
      </c>
    </row>
    <row r="164" spans="1:7" x14ac:dyDescent="0.25">
      <c r="A164" t="s">
        <v>80</v>
      </c>
      <c r="B164" s="13" t="s">
        <v>28</v>
      </c>
      <c r="C164">
        <v>2.0068395294777002</v>
      </c>
      <c r="D164">
        <v>2.2515073032678998</v>
      </c>
      <c r="E164">
        <v>-1.17841797773046</v>
      </c>
      <c r="G164">
        <f t="shared" si="2"/>
        <v>1.0266429516717135</v>
      </c>
    </row>
    <row r="165" spans="1:7" x14ac:dyDescent="0.25">
      <c r="A165" t="s">
        <v>80</v>
      </c>
      <c r="B165" s="13" t="s">
        <v>71</v>
      </c>
      <c r="C165">
        <v>1.9094528625981499</v>
      </c>
      <c r="D165">
        <v>-0.33961360525906997</v>
      </c>
      <c r="E165">
        <v>1.5948722723429101</v>
      </c>
      <c r="G165">
        <f t="shared" si="2"/>
        <v>1.0549038432273301</v>
      </c>
    </row>
    <row r="166" spans="1:7" x14ac:dyDescent="0.25">
      <c r="A166" t="s">
        <v>80</v>
      </c>
      <c r="B166" s="13" t="s">
        <v>31</v>
      </c>
      <c r="C166">
        <v>0.29803442364735999</v>
      </c>
      <c r="D166">
        <v>0.95117875614263603</v>
      </c>
      <c r="E166">
        <v>2.6713119796098002</v>
      </c>
      <c r="G166">
        <f t="shared" si="2"/>
        <v>1.306841719799932</v>
      </c>
    </row>
    <row r="167" spans="1:7" x14ac:dyDescent="0.25">
      <c r="A167" t="s">
        <v>80</v>
      </c>
      <c r="B167" s="13" t="s">
        <v>32</v>
      </c>
      <c r="C167">
        <v>-0.496492196375796</v>
      </c>
      <c r="D167">
        <v>0.11422764625222299</v>
      </c>
      <c r="E167">
        <v>-0.27206387193779802</v>
      </c>
      <c r="G167">
        <f t="shared" si="2"/>
        <v>-0.21810947402045699</v>
      </c>
    </row>
    <row r="168" spans="1:7" x14ac:dyDescent="0.25">
      <c r="A168" t="s">
        <v>80</v>
      </c>
      <c r="B168" s="13" t="s">
        <v>36</v>
      </c>
      <c r="C168">
        <v>-0.69665360631276996</v>
      </c>
      <c r="D168">
        <v>0.11422764625222299</v>
      </c>
      <c r="E168">
        <v>0</v>
      </c>
      <c r="G168">
        <f t="shared" si="2"/>
        <v>-0.19414198668684898</v>
      </c>
    </row>
    <row r="169" spans="1:7" x14ac:dyDescent="0.25">
      <c r="A169" t="s">
        <v>80</v>
      </c>
      <c r="B169" s="13" t="s">
        <v>72</v>
      </c>
      <c r="C169">
        <v>-0.13640241969165501</v>
      </c>
      <c r="D169">
        <v>-0.82911532497572704</v>
      </c>
      <c r="E169">
        <v>-1.8590523426385901</v>
      </c>
      <c r="G169">
        <f t="shared" si="2"/>
        <v>-0.94152336243532408</v>
      </c>
    </row>
    <row r="170" spans="1:7" x14ac:dyDescent="0.25">
      <c r="A170" t="s">
        <v>80</v>
      </c>
      <c r="B170" s="13" t="s">
        <v>35</v>
      </c>
      <c r="C170">
        <v>-0.47414461707481298</v>
      </c>
      <c r="D170">
        <v>-1.0263100614429801</v>
      </c>
      <c r="E170">
        <v>-2.5338525932700602</v>
      </c>
      <c r="G170">
        <f t="shared" si="2"/>
        <v>-1.3447690905959508</v>
      </c>
    </row>
    <row r="171" spans="1:7" x14ac:dyDescent="0.25">
      <c r="A171" t="s">
        <v>80</v>
      </c>
      <c r="B171" s="13" t="s">
        <v>20</v>
      </c>
      <c r="C171">
        <v>0.16005965013741399</v>
      </c>
      <c r="D171">
        <v>-0.80709339185161599</v>
      </c>
      <c r="E171">
        <v>-0.67449999999999999</v>
      </c>
      <c r="G171">
        <f t="shared" si="2"/>
        <v>-0.44051124723806739</v>
      </c>
    </row>
    <row r="172" spans="1:7" x14ac:dyDescent="0.25">
      <c r="A172" t="s">
        <v>80</v>
      </c>
      <c r="B172" s="13" t="s">
        <v>25</v>
      </c>
      <c r="C172">
        <v>0.57610840062673996</v>
      </c>
      <c r="D172">
        <v>-0.85111512541747603</v>
      </c>
      <c r="E172">
        <v>-1.35087113966599</v>
      </c>
      <c r="G172">
        <f t="shared" si="2"/>
        <v>-0.54195928815224204</v>
      </c>
    </row>
    <row r="173" spans="1:7" x14ac:dyDescent="0.25">
      <c r="A173" t="s">
        <v>80</v>
      </c>
      <c r="B173" s="13" t="s">
        <v>29</v>
      </c>
      <c r="C173">
        <v>1.9581116380841299</v>
      </c>
      <c r="D173">
        <v>-0.20432638809838999</v>
      </c>
      <c r="E173">
        <v>9.1341758919125896E-2</v>
      </c>
      <c r="G173">
        <f t="shared" si="2"/>
        <v>0.61504233630162186</v>
      </c>
    </row>
    <row r="174" spans="1:7" x14ac:dyDescent="0.25">
      <c r="A174" t="s">
        <v>80</v>
      </c>
      <c r="B174" s="13" t="s">
        <v>21</v>
      </c>
      <c r="C174">
        <v>1.3549242456829</v>
      </c>
      <c r="D174">
        <v>0.73960399503330698</v>
      </c>
      <c r="E174">
        <v>2.9705158664424398</v>
      </c>
      <c r="G174">
        <f t="shared" si="2"/>
        <v>1.6883480357195488</v>
      </c>
    </row>
    <row r="175" spans="1:7" x14ac:dyDescent="0.25">
      <c r="A175" t="s">
        <v>80</v>
      </c>
      <c r="B175" s="13" t="s">
        <v>43</v>
      </c>
      <c r="C175">
        <v>0.20597167355735199</v>
      </c>
      <c r="D175">
        <v>-4.5549196196284399E-2</v>
      </c>
      <c r="E175">
        <v>-0.24950551182712499</v>
      </c>
      <c r="G175">
        <f t="shared" si="2"/>
        <v>-2.9694344822019131E-2</v>
      </c>
    </row>
    <row r="176" spans="1:7" x14ac:dyDescent="0.25">
      <c r="A176" t="s">
        <v>80</v>
      </c>
      <c r="B176" s="13" t="s">
        <v>19</v>
      </c>
      <c r="C176">
        <v>-0.294601376045313</v>
      </c>
      <c r="D176">
        <v>-0.294601376045313</v>
      </c>
      <c r="E176">
        <v>-0.74089532922880696</v>
      </c>
      <c r="G176">
        <f t="shared" si="2"/>
        <v>-0.44336602710647766</v>
      </c>
    </row>
    <row r="177" spans="1:7" x14ac:dyDescent="0.25">
      <c r="A177" t="s">
        <v>80</v>
      </c>
      <c r="B177" s="13" t="s">
        <v>26</v>
      </c>
      <c r="C177">
        <v>-4.5549196196284399E-2</v>
      </c>
      <c r="D177">
        <v>-1.0263100614429801</v>
      </c>
      <c r="E177">
        <v>-0.91698117634804599</v>
      </c>
      <c r="G177">
        <f t="shared" si="2"/>
        <v>-0.66294681132910349</v>
      </c>
    </row>
    <row r="178" spans="1:7" x14ac:dyDescent="0.25">
      <c r="A178" t="s">
        <v>80</v>
      </c>
      <c r="B178" s="13" t="s">
        <v>24</v>
      </c>
      <c r="C178">
        <v>-0.47414461707481298</v>
      </c>
      <c r="D178">
        <v>-1.3078978815798501</v>
      </c>
      <c r="E178">
        <v>-0.60790884177035198</v>
      </c>
      <c r="G178">
        <f t="shared" si="2"/>
        <v>-0.79665044680833841</v>
      </c>
    </row>
    <row r="179" spans="1:7" x14ac:dyDescent="0.25">
      <c r="A179" t="s">
        <v>80</v>
      </c>
      <c r="B179" s="13" t="s">
        <v>30</v>
      </c>
      <c r="C179">
        <v>0.62272566950735797</v>
      </c>
      <c r="D179">
        <v>-1.0698835411385099</v>
      </c>
      <c r="E179">
        <v>-0.82911532497572704</v>
      </c>
      <c r="G179">
        <f t="shared" si="2"/>
        <v>-0.42542439886895966</v>
      </c>
    </row>
    <row r="180" spans="1:7" x14ac:dyDescent="0.25">
      <c r="A180" t="s">
        <v>80</v>
      </c>
      <c r="B180" s="13" t="s">
        <v>37</v>
      </c>
      <c r="C180">
        <v>1.47467442710865</v>
      </c>
      <c r="D180">
        <v>-0.181705724612029</v>
      </c>
      <c r="E180">
        <v>-1.6067145948806301</v>
      </c>
      <c r="G180">
        <f t="shared" si="2"/>
        <v>-0.10458196412800302</v>
      </c>
    </row>
    <row r="181" spans="1:7" x14ac:dyDescent="0.25">
      <c r="A181" t="s">
        <v>80</v>
      </c>
      <c r="B181" s="13" t="s">
        <v>23</v>
      </c>
      <c r="C181">
        <v>4.6045100848439899</v>
      </c>
      <c r="D181">
        <v>0</v>
      </c>
      <c r="E181">
        <v>0.20597167355735199</v>
      </c>
      <c r="G181">
        <f t="shared" si="2"/>
        <v>1.6034939194671141</v>
      </c>
    </row>
    <row r="182" spans="1:7" x14ac:dyDescent="0.25">
      <c r="A182" t="s">
        <v>80</v>
      </c>
      <c r="B182" s="13" t="s">
        <v>22</v>
      </c>
      <c r="C182">
        <v>2.5473403886560599</v>
      </c>
      <c r="D182">
        <v>2.4978676890509699</v>
      </c>
      <c r="E182">
        <v>1.23562587637905</v>
      </c>
      <c r="G182">
        <f t="shared" si="2"/>
        <v>2.0936113180286933</v>
      </c>
    </row>
    <row r="183" spans="1:7" x14ac:dyDescent="0.25">
      <c r="A183" t="s">
        <v>80</v>
      </c>
      <c r="B183" s="15" t="s">
        <v>73</v>
      </c>
      <c r="C183">
        <v>-1.7933123580000001</v>
      </c>
      <c r="D183">
        <v>-1.8504408569999999</v>
      </c>
      <c r="E183">
        <v>-1.836316912</v>
      </c>
      <c r="G183">
        <f t="shared" si="2"/>
        <v>-1.8266900423333334</v>
      </c>
    </row>
  </sheetData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0E188-6051-4E9A-8B3A-FA8A2E09060B}">
  <dimension ref="A1:AV28"/>
  <sheetViews>
    <sheetView topLeftCell="AC1" zoomScale="80" zoomScaleNormal="80" workbookViewId="0">
      <selection activeCell="AR1" sqref="AR1:AS1048576"/>
    </sheetView>
  </sheetViews>
  <sheetFormatPr defaultRowHeight="15" x14ac:dyDescent="0.25"/>
  <cols>
    <col min="2" max="2" width="9.140625" style="42"/>
    <col min="6" max="6" width="12.7109375" customWidth="1"/>
  </cols>
  <sheetData>
    <row r="1" spans="1:48" x14ac:dyDescent="0.25">
      <c r="A1" t="s">
        <v>67</v>
      </c>
      <c r="B1" s="42" t="s">
        <v>68</v>
      </c>
      <c r="C1" t="s">
        <v>129</v>
      </c>
      <c r="H1" t="s">
        <v>67</v>
      </c>
      <c r="I1" s="42" t="s">
        <v>68</v>
      </c>
      <c r="J1" t="s">
        <v>129</v>
      </c>
      <c r="O1" t="s">
        <v>67</v>
      </c>
      <c r="P1" s="42" t="s">
        <v>68</v>
      </c>
      <c r="Q1" t="s">
        <v>129</v>
      </c>
      <c r="V1" t="s">
        <v>67</v>
      </c>
      <c r="W1" s="42" t="s">
        <v>68</v>
      </c>
      <c r="X1" t="s">
        <v>129</v>
      </c>
      <c r="AC1" t="s">
        <v>67</v>
      </c>
      <c r="AD1" s="42" t="s">
        <v>68</v>
      </c>
      <c r="AE1" t="s">
        <v>129</v>
      </c>
      <c r="AJ1" t="s">
        <v>67</v>
      </c>
      <c r="AK1" s="42" t="s">
        <v>68</v>
      </c>
      <c r="AL1" t="s">
        <v>129</v>
      </c>
      <c r="AQ1" t="s">
        <v>67</v>
      </c>
      <c r="AR1" s="42" t="s">
        <v>68</v>
      </c>
      <c r="AS1" t="s">
        <v>129</v>
      </c>
    </row>
    <row r="2" spans="1:48" x14ac:dyDescent="0.25">
      <c r="A2" t="s">
        <v>77</v>
      </c>
      <c r="B2" s="43" t="s">
        <v>29</v>
      </c>
      <c r="C2">
        <v>3.4839505783333333</v>
      </c>
      <c r="E2" s="27" t="s">
        <v>86</v>
      </c>
      <c r="F2" s="16">
        <v>23</v>
      </c>
      <c r="H2" t="s">
        <v>80</v>
      </c>
      <c r="I2" s="13" t="s">
        <v>22</v>
      </c>
      <c r="J2" s="46">
        <v>2.0936113180286933</v>
      </c>
      <c r="L2" s="27" t="s">
        <v>86</v>
      </c>
      <c r="M2" s="16">
        <v>23</v>
      </c>
      <c r="O2" t="s">
        <v>78</v>
      </c>
      <c r="P2" s="13" t="s">
        <v>25</v>
      </c>
      <c r="Q2" s="46">
        <v>0.79099740066666657</v>
      </c>
      <c r="S2" s="27" t="s">
        <v>86</v>
      </c>
      <c r="T2" s="16">
        <v>23</v>
      </c>
      <c r="V2" t="s">
        <v>74</v>
      </c>
      <c r="W2" s="13" t="s">
        <v>18</v>
      </c>
      <c r="X2" s="46">
        <v>1.7820538533333332</v>
      </c>
      <c r="Z2" s="27" t="s">
        <v>86</v>
      </c>
      <c r="AA2" s="16">
        <v>23</v>
      </c>
      <c r="AC2" t="s">
        <v>75</v>
      </c>
      <c r="AD2" s="13" t="s">
        <v>18</v>
      </c>
      <c r="AE2" s="46">
        <v>2.4325341366666668</v>
      </c>
      <c r="AG2" s="27" t="s">
        <v>86</v>
      </c>
      <c r="AH2" s="16">
        <v>23</v>
      </c>
      <c r="AJ2" t="s">
        <v>79</v>
      </c>
      <c r="AK2" s="13" t="s">
        <v>24</v>
      </c>
      <c r="AL2" s="46">
        <v>16.023051073000001</v>
      </c>
      <c r="AN2" s="27" t="s">
        <v>86</v>
      </c>
      <c r="AO2" s="16">
        <v>25</v>
      </c>
      <c r="AQ2" t="s">
        <v>76</v>
      </c>
      <c r="AR2" s="13" t="s">
        <v>43</v>
      </c>
      <c r="AS2" s="46">
        <v>39.72877578433333</v>
      </c>
      <c r="AU2" s="27" t="s">
        <v>86</v>
      </c>
      <c r="AV2" s="16">
        <v>23</v>
      </c>
    </row>
    <row r="3" spans="1:48" x14ac:dyDescent="0.25">
      <c r="A3" t="s">
        <v>77</v>
      </c>
      <c r="B3" s="43" t="s">
        <v>19</v>
      </c>
      <c r="C3">
        <v>2.5994011230000003</v>
      </c>
      <c r="E3" s="27"/>
      <c r="F3" s="16"/>
      <c r="H3" t="s">
        <v>80</v>
      </c>
      <c r="I3" s="13" t="s">
        <v>21</v>
      </c>
      <c r="J3" s="46">
        <v>1.6883480357195488</v>
      </c>
      <c r="L3" s="27"/>
      <c r="M3" s="16"/>
      <c r="O3" t="s">
        <v>78</v>
      </c>
      <c r="P3" s="13" t="s">
        <v>30</v>
      </c>
      <c r="Q3" s="46">
        <v>0.58012867733333318</v>
      </c>
      <c r="S3" s="27"/>
      <c r="T3" s="16"/>
      <c r="V3" t="s">
        <v>74</v>
      </c>
      <c r="W3" s="13" t="s">
        <v>71</v>
      </c>
      <c r="X3" s="46">
        <v>0.88489600766666665</v>
      </c>
      <c r="Z3" s="27"/>
      <c r="AA3" s="16"/>
      <c r="AC3" t="s">
        <v>75</v>
      </c>
      <c r="AD3" s="13" t="s">
        <v>17</v>
      </c>
      <c r="AE3" s="46">
        <v>1.7390722890000001</v>
      </c>
      <c r="AG3" s="27"/>
      <c r="AH3" s="16"/>
      <c r="AJ3" t="s">
        <v>79</v>
      </c>
      <c r="AK3" s="13" t="s">
        <v>43</v>
      </c>
      <c r="AL3" s="46">
        <v>12.127955872666666</v>
      </c>
      <c r="AN3" s="27"/>
      <c r="AO3" s="16"/>
      <c r="AQ3" t="s">
        <v>76</v>
      </c>
      <c r="AR3" s="13" t="s">
        <v>24</v>
      </c>
      <c r="AS3" s="46">
        <v>39.271390120666666</v>
      </c>
      <c r="AU3" s="27"/>
      <c r="AV3" s="16"/>
    </row>
    <row r="4" spans="1:48" x14ac:dyDescent="0.25">
      <c r="A4" t="s">
        <v>77</v>
      </c>
      <c r="B4" s="43" t="s">
        <v>26</v>
      </c>
      <c r="C4">
        <v>2.3453810256666667</v>
      </c>
      <c r="E4" s="27" t="s">
        <v>87</v>
      </c>
      <c r="F4" s="16">
        <v>-0.75660000000000005</v>
      </c>
      <c r="H4" t="s">
        <v>80</v>
      </c>
      <c r="I4" s="13" t="s">
        <v>23</v>
      </c>
      <c r="J4" s="47">
        <v>1.6034939194671141</v>
      </c>
      <c r="L4" s="27" t="s">
        <v>87</v>
      </c>
      <c r="M4" s="16">
        <v>-1.345</v>
      </c>
      <c r="O4" t="s">
        <v>78</v>
      </c>
      <c r="P4" s="13" t="s">
        <v>26</v>
      </c>
      <c r="Q4" s="46">
        <v>0.54372832733333343</v>
      </c>
      <c r="S4" s="27" t="s">
        <v>87</v>
      </c>
      <c r="T4" s="16">
        <v>-0.1905</v>
      </c>
      <c r="V4" t="s">
        <v>74</v>
      </c>
      <c r="W4" s="13" t="s">
        <v>31</v>
      </c>
      <c r="X4" s="46">
        <v>0.82523491166666674</v>
      </c>
      <c r="Z4" s="27" t="s">
        <v>87</v>
      </c>
      <c r="AA4" s="16">
        <v>-0.77549999999999997</v>
      </c>
      <c r="AC4" t="s">
        <v>75</v>
      </c>
      <c r="AD4" s="13" t="s">
        <v>70</v>
      </c>
      <c r="AE4" s="46">
        <v>1.2216847389999999</v>
      </c>
      <c r="AG4" s="27" t="s">
        <v>87</v>
      </c>
      <c r="AH4" s="16">
        <v>-1.4630000000000001</v>
      </c>
      <c r="AJ4" t="s">
        <v>79</v>
      </c>
      <c r="AK4" s="13" t="s">
        <v>71</v>
      </c>
      <c r="AL4" s="46">
        <v>3.6939784640000002</v>
      </c>
      <c r="AN4" s="27" t="s">
        <v>87</v>
      </c>
      <c r="AO4" s="16">
        <v>-0.64149999999999996</v>
      </c>
      <c r="AQ4" t="s">
        <v>76</v>
      </c>
      <c r="AR4" s="13" t="s">
        <v>71</v>
      </c>
      <c r="AS4" s="46">
        <v>12.255682241333332</v>
      </c>
      <c r="AU4" s="27" t="s">
        <v>87</v>
      </c>
      <c r="AV4" s="16">
        <v>-0.51039999999999996</v>
      </c>
    </row>
    <row r="5" spans="1:48" x14ac:dyDescent="0.25">
      <c r="A5" t="s">
        <v>77</v>
      </c>
      <c r="B5" s="43" t="s">
        <v>43</v>
      </c>
      <c r="C5">
        <v>2.156864463666667</v>
      </c>
      <c r="E5" s="27" t="s">
        <v>88</v>
      </c>
      <c r="F5" s="16">
        <v>-0.48259999999999997</v>
      </c>
      <c r="H5" t="s">
        <v>80</v>
      </c>
      <c r="I5" s="13" t="s">
        <v>31</v>
      </c>
      <c r="J5" s="46">
        <v>1.306841719799932</v>
      </c>
      <c r="L5" s="27" t="s">
        <v>88</v>
      </c>
      <c r="M5" s="16">
        <v>-0.44340000000000002</v>
      </c>
      <c r="O5" t="s">
        <v>78</v>
      </c>
      <c r="P5" s="13" t="s">
        <v>37</v>
      </c>
      <c r="Q5" s="46">
        <v>0.53480587733333329</v>
      </c>
      <c r="S5" s="27" t="s">
        <v>88</v>
      </c>
      <c r="T5" s="16">
        <v>1.021E-2</v>
      </c>
      <c r="V5" t="s">
        <v>74</v>
      </c>
      <c r="W5" s="13" t="s">
        <v>17</v>
      </c>
      <c r="X5" s="46">
        <v>0.75940993499999998</v>
      </c>
      <c r="Z5" s="27" t="s">
        <v>88</v>
      </c>
      <c r="AA5" s="16">
        <v>-0.32940000000000003</v>
      </c>
      <c r="AC5" t="s">
        <v>75</v>
      </c>
      <c r="AD5" s="13" t="s">
        <v>20</v>
      </c>
      <c r="AE5" s="46">
        <v>0.51738755033333339</v>
      </c>
      <c r="AG5" s="27" t="s">
        <v>88</v>
      </c>
      <c r="AH5" s="16">
        <v>-0.39579999999999999</v>
      </c>
      <c r="AJ5" t="s">
        <v>79</v>
      </c>
      <c r="AK5" s="13" t="s">
        <v>31</v>
      </c>
      <c r="AL5" s="46">
        <v>3.3991811709999999</v>
      </c>
      <c r="AN5" s="27" t="s">
        <v>88</v>
      </c>
      <c r="AO5" s="16">
        <v>-0.26850000000000002</v>
      </c>
      <c r="AQ5" t="s">
        <v>76</v>
      </c>
      <c r="AR5" s="13" t="s">
        <v>31</v>
      </c>
      <c r="AS5" s="46">
        <v>4.7012902613333338</v>
      </c>
      <c r="AU5" s="27" t="s">
        <v>88</v>
      </c>
      <c r="AV5" s="16">
        <v>-0.32029999999999997</v>
      </c>
    </row>
    <row r="6" spans="1:48" x14ac:dyDescent="0.25">
      <c r="A6" t="s">
        <v>77</v>
      </c>
      <c r="B6" s="43" t="s">
        <v>21</v>
      </c>
      <c r="C6">
        <v>1.9206251596666666</v>
      </c>
      <c r="E6" s="27" t="s">
        <v>89</v>
      </c>
      <c r="F6" s="16">
        <v>1.117</v>
      </c>
      <c r="H6" t="s">
        <v>80</v>
      </c>
      <c r="I6" s="13" t="s">
        <v>71</v>
      </c>
      <c r="J6" s="46">
        <v>1.0549038432273301</v>
      </c>
      <c r="L6" s="27" t="s">
        <v>89</v>
      </c>
      <c r="M6" s="16">
        <v>0.17549999999999999</v>
      </c>
      <c r="O6" t="s">
        <v>78</v>
      </c>
      <c r="P6" s="13" t="s">
        <v>34</v>
      </c>
      <c r="Q6" s="46">
        <v>0.326218387</v>
      </c>
      <c r="S6" s="27" t="s">
        <v>89</v>
      </c>
      <c r="T6" s="16">
        <v>0.121</v>
      </c>
      <c r="V6" t="s">
        <v>74</v>
      </c>
      <c r="W6" s="13" t="s">
        <v>43</v>
      </c>
      <c r="X6" s="46">
        <v>0.73969870033333329</v>
      </c>
      <c r="Z6" s="27" t="s">
        <v>89</v>
      </c>
      <c r="AA6" s="16">
        <v>0.10680000000000001</v>
      </c>
      <c r="AC6" t="s">
        <v>75</v>
      </c>
      <c r="AD6" s="13" t="s">
        <v>30</v>
      </c>
      <c r="AE6" s="46">
        <v>0.49847987933333332</v>
      </c>
      <c r="AG6" s="27" t="s">
        <v>89</v>
      </c>
      <c r="AH6" s="16">
        <v>-4.7689999999999998E-3</v>
      </c>
      <c r="AJ6" t="s">
        <v>79</v>
      </c>
      <c r="AK6" s="13" t="s">
        <v>35</v>
      </c>
      <c r="AL6" s="46">
        <v>3.393252022</v>
      </c>
      <c r="AN6" s="27" t="s">
        <v>89</v>
      </c>
      <c r="AO6" s="16">
        <v>0.44019999999999998</v>
      </c>
      <c r="AQ6" t="s">
        <v>76</v>
      </c>
      <c r="AR6" s="13" t="s">
        <v>28</v>
      </c>
      <c r="AS6" s="46">
        <v>3.529446257</v>
      </c>
      <c r="AU6" s="27" t="s">
        <v>89</v>
      </c>
      <c r="AV6" s="16">
        <v>0.4153</v>
      </c>
    </row>
    <row r="7" spans="1:48" x14ac:dyDescent="0.25">
      <c r="A7" t="s">
        <v>77</v>
      </c>
      <c r="B7" s="43" t="s">
        <v>24</v>
      </c>
      <c r="C7">
        <v>1.7351157186666668</v>
      </c>
      <c r="E7" s="27" t="s">
        <v>90</v>
      </c>
      <c r="F7" s="16">
        <v>1.7350000000000001</v>
      </c>
      <c r="H7" t="s">
        <v>80</v>
      </c>
      <c r="I7" s="13" t="s">
        <v>28</v>
      </c>
      <c r="J7" s="46">
        <v>1.0266429516717135</v>
      </c>
      <c r="L7" s="27" t="s">
        <v>90</v>
      </c>
      <c r="M7" s="16">
        <v>0.95199999999999996</v>
      </c>
      <c r="O7" t="s">
        <v>78</v>
      </c>
      <c r="P7" s="13" t="s">
        <v>35</v>
      </c>
      <c r="Q7" s="46">
        <v>0.32334921066666672</v>
      </c>
      <c r="S7" s="27" t="s">
        <v>90</v>
      </c>
      <c r="T7" s="16">
        <v>0.32340000000000002</v>
      </c>
      <c r="V7" t="s">
        <v>74</v>
      </c>
      <c r="W7" s="13" t="s">
        <v>30</v>
      </c>
      <c r="X7" s="46">
        <v>0.65894196833333341</v>
      </c>
      <c r="Z7" s="27" t="s">
        <v>90</v>
      </c>
      <c r="AA7" s="16">
        <v>0.65890000000000004</v>
      </c>
      <c r="AC7" t="s">
        <v>75</v>
      </c>
      <c r="AD7" s="14">
        <v>1771</v>
      </c>
      <c r="AE7" s="46">
        <v>0.39616716866666674</v>
      </c>
      <c r="AG7" s="27" t="s">
        <v>90</v>
      </c>
      <c r="AH7" s="16">
        <v>0.3962</v>
      </c>
      <c r="AJ7" t="s">
        <v>79</v>
      </c>
      <c r="AK7" s="13" t="s">
        <v>18</v>
      </c>
      <c r="AL7" s="46">
        <v>3.0337084213333334</v>
      </c>
      <c r="AN7" s="27" t="s">
        <v>90</v>
      </c>
      <c r="AO7" s="16">
        <v>2.6840000000000002</v>
      </c>
      <c r="AQ7" t="s">
        <v>76</v>
      </c>
      <c r="AR7" s="13" t="s">
        <v>35</v>
      </c>
      <c r="AS7" s="46">
        <v>3.1812092176666664</v>
      </c>
      <c r="AU7" s="27" t="s">
        <v>90</v>
      </c>
      <c r="AV7" s="16">
        <v>3.181</v>
      </c>
    </row>
    <row r="8" spans="1:48" x14ac:dyDescent="0.25">
      <c r="A8" t="s">
        <v>77</v>
      </c>
      <c r="B8" s="44" t="s">
        <v>37</v>
      </c>
      <c r="C8">
        <v>1.5203922999999999</v>
      </c>
      <c r="E8" s="27" t="s">
        <v>91</v>
      </c>
      <c r="F8" s="16">
        <v>3.484</v>
      </c>
      <c r="H8" t="s">
        <v>80</v>
      </c>
      <c r="I8" s="13" t="s">
        <v>17</v>
      </c>
      <c r="J8" s="46">
        <v>0.95197293285957552</v>
      </c>
      <c r="L8" s="27" t="s">
        <v>91</v>
      </c>
      <c r="M8" s="16">
        <v>2.0939999999999999</v>
      </c>
      <c r="O8" t="s">
        <v>78</v>
      </c>
      <c r="P8" s="13" t="s">
        <v>72</v>
      </c>
      <c r="Q8">
        <v>0.31376698633333328</v>
      </c>
      <c r="S8" s="27" t="s">
        <v>91</v>
      </c>
      <c r="T8" s="16">
        <v>0.79100000000000004</v>
      </c>
      <c r="V8" t="s">
        <v>74</v>
      </c>
      <c r="W8" s="13" t="s">
        <v>70</v>
      </c>
      <c r="X8">
        <v>0.54400371400000003</v>
      </c>
      <c r="Z8" s="27" t="s">
        <v>91</v>
      </c>
      <c r="AA8" s="16">
        <v>1.782</v>
      </c>
      <c r="AC8" t="s">
        <v>75</v>
      </c>
      <c r="AD8" s="13" t="s">
        <v>43</v>
      </c>
      <c r="AE8">
        <v>0.33055917666666668</v>
      </c>
      <c r="AG8" s="27" t="s">
        <v>91</v>
      </c>
      <c r="AH8" s="16">
        <v>2.4329999999999998</v>
      </c>
      <c r="AJ8" t="s">
        <v>79</v>
      </c>
      <c r="AK8" s="13" t="s">
        <v>20</v>
      </c>
      <c r="AL8">
        <v>2.3343059946666664</v>
      </c>
      <c r="AN8" s="27" t="s">
        <v>91</v>
      </c>
      <c r="AO8" s="16">
        <v>16.02</v>
      </c>
      <c r="AQ8" t="s">
        <v>76</v>
      </c>
      <c r="AR8" s="13" t="s">
        <v>18</v>
      </c>
      <c r="AS8">
        <v>3.0624369090000001</v>
      </c>
      <c r="AU8" s="27" t="s">
        <v>91</v>
      </c>
      <c r="AV8" s="16">
        <v>39.729999999999997</v>
      </c>
    </row>
    <row r="9" spans="1:48" x14ac:dyDescent="0.25">
      <c r="A9" t="s">
        <v>77</v>
      </c>
      <c r="B9" s="44" t="s">
        <v>30</v>
      </c>
      <c r="C9">
        <v>1.4494698233333334</v>
      </c>
      <c r="E9" s="27" t="s">
        <v>92</v>
      </c>
      <c r="F9" s="16">
        <v>4.2409999999999997</v>
      </c>
      <c r="H9" t="s">
        <v>80</v>
      </c>
      <c r="I9" s="13" t="s">
        <v>38</v>
      </c>
      <c r="J9">
        <v>0.84509603713173453</v>
      </c>
      <c r="L9" s="27" t="s">
        <v>92</v>
      </c>
      <c r="M9" s="16">
        <v>3.4380000000000002</v>
      </c>
      <c r="O9" t="s">
        <v>78</v>
      </c>
      <c r="P9" s="13" t="s">
        <v>36</v>
      </c>
      <c r="Q9">
        <v>0.26496414933333329</v>
      </c>
      <c r="S9" s="27" t="s">
        <v>92</v>
      </c>
      <c r="T9" s="16">
        <v>0.98150000000000004</v>
      </c>
      <c r="V9" t="s">
        <v>74</v>
      </c>
      <c r="W9" s="13" t="s">
        <v>34</v>
      </c>
      <c r="X9">
        <v>0.40635468866666669</v>
      </c>
      <c r="Z9" s="27" t="s">
        <v>92</v>
      </c>
      <c r="AA9" s="16">
        <v>2.5579999999999998</v>
      </c>
      <c r="AC9" t="s">
        <v>75</v>
      </c>
      <c r="AD9" s="13" t="s">
        <v>31</v>
      </c>
      <c r="AE9">
        <v>0.32224305233333334</v>
      </c>
      <c r="AG9" s="27" t="s">
        <v>92</v>
      </c>
      <c r="AH9" s="16">
        <v>3.895</v>
      </c>
      <c r="AJ9" t="s">
        <v>79</v>
      </c>
      <c r="AK9" s="13" t="s">
        <v>28</v>
      </c>
      <c r="AL9">
        <v>2.1622420886666665</v>
      </c>
      <c r="AN9" s="27" t="s">
        <v>92</v>
      </c>
      <c r="AO9" s="16">
        <v>16.66</v>
      </c>
      <c r="AQ9" t="s">
        <v>76</v>
      </c>
      <c r="AR9" s="13" t="s">
        <v>70</v>
      </c>
      <c r="AS9">
        <v>2.1748123923333336</v>
      </c>
      <c r="AU9" s="27" t="s">
        <v>92</v>
      </c>
      <c r="AV9" s="16">
        <v>40.24</v>
      </c>
    </row>
    <row r="10" spans="1:48" x14ac:dyDescent="0.25">
      <c r="A10" t="s">
        <v>77</v>
      </c>
      <c r="B10" s="44" t="s">
        <v>36</v>
      </c>
      <c r="C10">
        <v>1.3176837583333334</v>
      </c>
      <c r="E10" s="27"/>
      <c r="F10" s="16"/>
      <c r="H10" t="s">
        <v>80</v>
      </c>
      <c r="I10" s="13" t="s">
        <v>34</v>
      </c>
      <c r="J10">
        <v>0.74690826299097868</v>
      </c>
      <c r="L10" s="27"/>
      <c r="M10" s="16"/>
      <c r="O10" t="s">
        <v>78</v>
      </c>
      <c r="P10" s="13" t="s">
        <v>32</v>
      </c>
      <c r="Q10">
        <v>0.26473343733333332</v>
      </c>
      <c r="S10" s="27"/>
      <c r="T10" s="16"/>
      <c r="V10" t="s">
        <v>74</v>
      </c>
      <c r="W10" s="13" t="s">
        <v>72</v>
      </c>
      <c r="X10">
        <v>0.27727576600000009</v>
      </c>
      <c r="Z10" s="27"/>
      <c r="AA10" s="16"/>
      <c r="AC10" t="s">
        <v>75</v>
      </c>
      <c r="AD10" s="13" t="s">
        <v>71</v>
      </c>
      <c r="AE10">
        <v>0.22515839366666668</v>
      </c>
      <c r="AG10" s="27"/>
      <c r="AH10" s="16"/>
      <c r="AJ10" t="s">
        <v>79</v>
      </c>
      <c r="AK10" s="13" t="s">
        <v>70</v>
      </c>
      <c r="AL10">
        <v>1.4736307136666664</v>
      </c>
      <c r="AN10" s="27"/>
      <c r="AO10" s="16"/>
      <c r="AQ10" t="s">
        <v>76</v>
      </c>
      <c r="AR10" s="13" t="s">
        <v>32</v>
      </c>
      <c r="AS10">
        <v>2.0808010226666669</v>
      </c>
      <c r="AU10" s="27"/>
      <c r="AV10" s="16"/>
    </row>
    <row r="11" spans="1:48" x14ac:dyDescent="0.25">
      <c r="A11" t="s">
        <v>77</v>
      </c>
      <c r="B11" s="44" t="s">
        <v>72</v>
      </c>
      <c r="C11">
        <v>1.1575885733333331</v>
      </c>
      <c r="E11" s="27" t="s">
        <v>101</v>
      </c>
      <c r="F11" s="16">
        <v>0.89780000000000004</v>
      </c>
      <c r="H11" t="s">
        <v>80</v>
      </c>
      <c r="I11" s="13" t="s">
        <v>70</v>
      </c>
      <c r="J11">
        <v>0.64907242436715273</v>
      </c>
      <c r="L11" s="27" t="s">
        <v>101</v>
      </c>
      <c r="M11" s="16">
        <v>0.2545</v>
      </c>
      <c r="O11" t="s">
        <v>78</v>
      </c>
      <c r="P11" s="13" t="s">
        <v>18</v>
      </c>
      <c r="Q11">
        <v>0.23645879699999997</v>
      </c>
      <c r="S11" s="27" t="s">
        <v>101</v>
      </c>
      <c r="T11" s="16">
        <v>0.1857</v>
      </c>
      <c r="V11" t="s">
        <v>74</v>
      </c>
      <c r="W11" s="13" t="s">
        <v>28</v>
      </c>
      <c r="X11">
        <v>0.22021866300000001</v>
      </c>
      <c r="Z11" s="27" t="s">
        <v>101</v>
      </c>
      <c r="AA11" s="16">
        <v>0.1696</v>
      </c>
      <c r="AC11" t="s">
        <v>75</v>
      </c>
      <c r="AD11" s="13" t="s">
        <v>35</v>
      </c>
      <c r="AE11">
        <v>0.21516279100000002</v>
      </c>
      <c r="AG11" s="27" t="s">
        <v>101</v>
      </c>
      <c r="AH11" s="16">
        <v>8.5970000000000005E-2</v>
      </c>
      <c r="AJ11" t="s">
        <v>79</v>
      </c>
      <c r="AK11" s="13" t="s">
        <v>32</v>
      </c>
      <c r="AL11">
        <v>1.3822032349999998</v>
      </c>
      <c r="AN11" s="27" t="s">
        <v>101</v>
      </c>
      <c r="AO11" s="16">
        <v>1.9510000000000001</v>
      </c>
      <c r="AQ11" t="s">
        <v>76</v>
      </c>
      <c r="AR11" s="13" t="s">
        <v>20</v>
      </c>
      <c r="AS11">
        <v>1.7425285063333333</v>
      </c>
      <c r="AU11" s="27" t="s">
        <v>101</v>
      </c>
      <c r="AV11" s="16">
        <v>4.7380000000000004</v>
      </c>
    </row>
    <row r="12" spans="1:48" x14ac:dyDescent="0.25">
      <c r="A12" t="s">
        <v>77</v>
      </c>
      <c r="B12" s="44" t="s">
        <v>71</v>
      </c>
      <c r="C12">
        <v>1.1564796123333334</v>
      </c>
      <c r="E12" s="27" t="s">
        <v>102</v>
      </c>
      <c r="F12" s="16">
        <v>1.1950000000000001</v>
      </c>
      <c r="H12" t="s">
        <v>80</v>
      </c>
      <c r="I12" s="13" t="s">
        <v>18</v>
      </c>
      <c r="J12">
        <v>0.625703682892365</v>
      </c>
      <c r="L12" s="27" t="s">
        <v>102</v>
      </c>
      <c r="M12" s="16">
        <v>0.89700000000000002</v>
      </c>
      <c r="O12" t="s">
        <v>78</v>
      </c>
      <c r="P12" s="13" t="s">
        <v>29</v>
      </c>
      <c r="Q12">
        <v>0.22176078333333335</v>
      </c>
      <c r="S12" s="27" t="s">
        <v>102</v>
      </c>
      <c r="T12" s="16">
        <v>0.24940000000000001</v>
      </c>
      <c r="V12" t="s">
        <v>74</v>
      </c>
      <c r="W12" s="13" t="s">
        <v>20</v>
      </c>
      <c r="X12">
        <v>0.20716573799999996</v>
      </c>
      <c r="Z12" s="27" t="s">
        <v>102</v>
      </c>
      <c r="AA12" s="16">
        <v>0.61219999999999997</v>
      </c>
      <c r="AC12" t="s">
        <v>75</v>
      </c>
      <c r="AD12" s="13" t="s">
        <v>24</v>
      </c>
      <c r="AE12">
        <v>4.3070482000000021E-2</v>
      </c>
      <c r="AG12" s="27" t="s">
        <v>102</v>
      </c>
      <c r="AH12" s="16">
        <v>0.86739999999999995</v>
      </c>
      <c r="AJ12" t="s">
        <v>79</v>
      </c>
      <c r="AK12" s="13" t="s">
        <v>37</v>
      </c>
      <c r="AL12">
        <v>1.1328232243333334</v>
      </c>
      <c r="AN12" s="27" t="s">
        <v>102</v>
      </c>
      <c r="AO12" s="16">
        <v>3.94</v>
      </c>
      <c r="AQ12" t="s">
        <v>76</v>
      </c>
      <c r="AR12" s="13" t="s">
        <v>37</v>
      </c>
      <c r="AS12">
        <v>0.92363313733333341</v>
      </c>
      <c r="AU12" s="27" t="s">
        <v>102</v>
      </c>
      <c r="AV12" s="16">
        <v>11.32</v>
      </c>
    </row>
    <row r="13" spans="1:48" x14ac:dyDescent="0.25">
      <c r="A13" t="s">
        <v>77</v>
      </c>
      <c r="B13" s="44" t="s">
        <v>35</v>
      </c>
      <c r="C13">
        <v>1.1165638203333332</v>
      </c>
      <c r="E13" s="27" t="s">
        <v>103</v>
      </c>
      <c r="F13" s="16">
        <v>0.2492</v>
      </c>
      <c r="H13" t="s">
        <v>80</v>
      </c>
      <c r="I13" s="13" t="s">
        <v>29</v>
      </c>
      <c r="J13">
        <v>0.61504233630162186</v>
      </c>
      <c r="L13" s="27" t="s">
        <v>103</v>
      </c>
      <c r="M13" s="16">
        <v>0.187</v>
      </c>
      <c r="O13" t="s">
        <v>78</v>
      </c>
      <c r="P13" s="13" t="s">
        <v>23</v>
      </c>
      <c r="Q13">
        <v>0.17928089399999994</v>
      </c>
      <c r="S13" s="27" t="s">
        <v>103</v>
      </c>
      <c r="T13" s="16">
        <v>5.1999999999999998E-2</v>
      </c>
      <c r="V13" t="s">
        <v>74</v>
      </c>
      <c r="W13" s="13" t="s">
        <v>32</v>
      </c>
      <c r="X13">
        <v>0.13194661099999996</v>
      </c>
      <c r="Z13" s="27" t="s">
        <v>103</v>
      </c>
      <c r="AA13" s="16">
        <v>0.12770000000000001</v>
      </c>
      <c r="AC13" t="s">
        <v>75</v>
      </c>
      <c r="AD13" s="13" t="s">
        <v>29</v>
      </c>
      <c r="AE13">
        <v>-4.7675503333333147E-3</v>
      </c>
      <c r="AG13" s="27" t="s">
        <v>103</v>
      </c>
      <c r="AH13" s="16">
        <v>0.18090000000000001</v>
      </c>
      <c r="AJ13" t="s">
        <v>79</v>
      </c>
      <c r="AK13" s="13" t="s">
        <v>72</v>
      </c>
      <c r="AL13">
        <v>0.91261462699999996</v>
      </c>
      <c r="AN13" s="27" t="s">
        <v>103</v>
      </c>
      <c r="AO13" s="16">
        <v>0.78800000000000003</v>
      </c>
      <c r="AQ13" t="s">
        <v>76</v>
      </c>
      <c r="AR13" s="13" t="s">
        <v>22</v>
      </c>
      <c r="AS13">
        <v>0.63345899466666677</v>
      </c>
      <c r="AU13" s="27" t="s">
        <v>103</v>
      </c>
      <c r="AV13" s="16">
        <v>2.36</v>
      </c>
    </row>
    <row r="14" spans="1:48" x14ac:dyDescent="0.25">
      <c r="A14" t="s">
        <v>77</v>
      </c>
      <c r="B14" s="44" t="s">
        <v>23</v>
      </c>
      <c r="C14">
        <v>0.89978916366666672</v>
      </c>
      <c r="H14" t="s">
        <v>80</v>
      </c>
      <c r="I14" s="14">
        <v>1771</v>
      </c>
      <c r="J14">
        <v>0.17546831702986301</v>
      </c>
      <c r="O14" t="s">
        <v>78</v>
      </c>
      <c r="P14" s="13" t="s">
        <v>19</v>
      </c>
      <c r="Q14">
        <v>0.14096099433333334</v>
      </c>
      <c r="V14" t="s">
        <v>74</v>
      </c>
      <c r="W14" s="13" t="s">
        <v>36</v>
      </c>
      <c r="X14">
        <v>0.10682961933333335</v>
      </c>
      <c r="AC14" t="s">
        <v>75</v>
      </c>
      <c r="AD14" s="13" t="s">
        <v>72</v>
      </c>
      <c r="AE14">
        <v>-9.2100403333333167E-3</v>
      </c>
      <c r="AG14" s="27"/>
      <c r="AH14" s="16"/>
      <c r="AJ14" t="s">
        <v>79</v>
      </c>
      <c r="AK14" s="13" t="s">
        <v>22</v>
      </c>
      <c r="AL14">
        <v>0.44018002799999989</v>
      </c>
      <c r="AQ14" t="s">
        <v>76</v>
      </c>
      <c r="AR14" s="13" t="s">
        <v>72</v>
      </c>
      <c r="AS14">
        <v>0.41534219099999997</v>
      </c>
      <c r="AU14" s="27"/>
      <c r="AV14" s="16"/>
    </row>
    <row r="15" spans="1:48" x14ac:dyDescent="0.25">
      <c r="A15" t="s">
        <v>77</v>
      </c>
      <c r="B15" s="44" t="s">
        <v>22</v>
      </c>
      <c r="C15">
        <v>0.86301316033333331</v>
      </c>
      <c r="H15" t="s">
        <v>80</v>
      </c>
      <c r="I15" s="13" t="s">
        <v>43</v>
      </c>
      <c r="J15">
        <v>-2.9694344822019131E-2</v>
      </c>
      <c r="O15" t="s">
        <v>78</v>
      </c>
      <c r="P15" s="13" t="s">
        <v>20</v>
      </c>
      <c r="Q15">
        <v>0.12099842166666663</v>
      </c>
      <c r="V15" t="s">
        <v>74</v>
      </c>
      <c r="W15" s="13" t="s">
        <v>29</v>
      </c>
      <c r="X15">
        <v>0.10261049200000001</v>
      </c>
      <c r="AC15" t="s">
        <v>75</v>
      </c>
      <c r="AD15" s="13" t="s">
        <v>32</v>
      </c>
      <c r="AE15">
        <v>-0.11889078300000004</v>
      </c>
      <c r="AJ15" t="s">
        <v>79</v>
      </c>
      <c r="AK15" s="13" t="s">
        <v>30</v>
      </c>
      <c r="AL15">
        <v>0.20846888200000002</v>
      </c>
      <c r="AQ15" t="s">
        <v>76</v>
      </c>
      <c r="AR15" s="13" t="s">
        <v>30</v>
      </c>
      <c r="AS15">
        <v>0.31367197233333333</v>
      </c>
    </row>
    <row r="16" spans="1:48" x14ac:dyDescent="0.25">
      <c r="A16" t="s">
        <v>77</v>
      </c>
      <c r="B16" s="44" t="s">
        <v>25</v>
      </c>
      <c r="C16">
        <v>0.82618953300000009</v>
      </c>
      <c r="H16" t="s">
        <v>80</v>
      </c>
      <c r="I16" s="13" t="s">
        <v>37</v>
      </c>
      <c r="J16">
        <v>-0.10458196412800302</v>
      </c>
      <c r="O16" t="s">
        <v>78</v>
      </c>
      <c r="P16" s="13" t="s">
        <v>28</v>
      </c>
      <c r="Q16">
        <v>0.10144157033333336</v>
      </c>
      <c r="V16" t="s">
        <v>74</v>
      </c>
      <c r="W16" s="13" t="s">
        <v>35</v>
      </c>
      <c r="X16">
        <v>3.9191736333333331E-2</v>
      </c>
      <c r="AC16" t="s">
        <v>75</v>
      </c>
      <c r="AD16" s="13" t="s">
        <v>34</v>
      </c>
      <c r="AE16">
        <v>-0.22759634533333326</v>
      </c>
      <c r="AJ16" t="s">
        <v>79</v>
      </c>
      <c r="AK16" s="13" t="s">
        <v>23</v>
      </c>
      <c r="AL16">
        <v>0.1400465013333333</v>
      </c>
      <c r="AQ16" t="s">
        <v>76</v>
      </c>
      <c r="AR16" s="13" t="s">
        <v>23</v>
      </c>
      <c r="AS16">
        <v>0.14235033599999999</v>
      </c>
    </row>
    <row r="17" spans="1:45" x14ac:dyDescent="0.25">
      <c r="A17" t="s">
        <v>77</v>
      </c>
      <c r="B17" s="44" t="s">
        <v>31</v>
      </c>
      <c r="C17">
        <v>0.65521904666666664</v>
      </c>
      <c r="H17" t="s">
        <v>80</v>
      </c>
      <c r="I17" s="13" t="s">
        <v>36</v>
      </c>
      <c r="J17">
        <v>-0.19414198668684898</v>
      </c>
      <c r="O17" t="s">
        <v>78</v>
      </c>
      <c r="P17" s="13" t="s">
        <v>38</v>
      </c>
      <c r="Q17">
        <v>9.8473288999999978E-2</v>
      </c>
      <c r="V17" t="s">
        <v>74</v>
      </c>
      <c r="W17" s="13" t="s">
        <v>21</v>
      </c>
      <c r="X17">
        <v>2.6567316666666674E-2</v>
      </c>
      <c r="AC17" t="s">
        <v>75</v>
      </c>
      <c r="AD17" s="13" t="s">
        <v>28</v>
      </c>
      <c r="AE17">
        <v>-0.27849536166666666</v>
      </c>
      <c r="AJ17" t="s">
        <v>79</v>
      </c>
      <c r="AK17" s="13" t="s">
        <v>25</v>
      </c>
      <c r="AL17">
        <v>0.13222002466666669</v>
      </c>
      <c r="AQ17" t="s">
        <v>76</v>
      </c>
      <c r="AR17" s="13" t="s">
        <v>34</v>
      </c>
      <c r="AS17">
        <v>-1.5297648666666663E-2</v>
      </c>
    </row>
    <row r="18" spans="1:45" x14ac:dyDescent="0.25">
      <c r="A18" t="s">
        <v>77</v>
      </c>
      <c r="B18" s="44" t="s">
        <v>32</v>
      </c>
      <c r="C18">
        <v>0.48111897699999995</v>
      </c>
      <c r="H18" t="s">
        <v>80</v>
      </c>
      <c r="I18" s="13" t="s">
        <v>32</v>
      </c>
      <c r="J18">
        <v>-0.21810947402045699</v>
      </c>
      <c r="O18" t="s">
        <v>78</v>
      </c>
      <c r="P18" s="13" t="s">
        <v>22</v>
      </c>
      <c r="Q18">
        <v>7.444882600000001E-2</v>
      </c>
      <c r="V18" t="s">
        <v>74</v>
      </c>
      <c r="W18" s="13" t="s">
        <v>25</v>
      </c>
      <c r="X18">
        <v>-0.14513138366666667</v>
      </c>
      <c r="AC18" t="s">
        <v>75</v>
      </c>
      <c r="AD18" s="13" t="s">
        <v>26</v>
      </c>
      <c r="AE18">
        <v>-0.3141978113333333</v>
      </c>
      <c r="AJ18" t="s">
        <v>79</v>
      </c>
      <c r="AK18" s="13" t="s">
        <v>21</v>
      </c>
      <c r="AL18">
        <v>-0.19103718333333333</v>
      </c>
      <c r="AQ18" t="s">
        <v>76</v>
      </c>
      <c r="AR18" s="13" t="s">
        <v>25</v>
      </c>
      <c r="AS18">
        <v>-9.7820744666666681E-2</v>
      </c>
    </row>
    <row r="19" spans="1:45" x14ac:dyDescent="0.25">
      <c r="A19" t="s">
        <v>77</v>
      </c>
      <c r="B19" s="44" t="s">
        <v>20</v>
      </c>
      <c r="C19">
        <v>0.21431521233333325</v>
      </c>
      <c r="H19" t="s">
        <v>80</v>
      </c>
      <c r="I19" s="13" t="s">
        <v>30</v>
      </c>
      <c r="J19">
        <v>-0.42542439886895966</v>
      </c>
      <c r="O19" t="s">
        <v>78</v>
      </c>
      <c r="P19" s="13" t="s">
        <v>31</v>
      </c>
      <c r="Q19">
        <v>5.8251018000000009E-2</v>
      </c>
      <c r="V19" t="s">
        <v>74</v>
      </c>
      <c r="W19" s="13" t="s">
        <v>38</v>
      </c>
      <c r="X19">
        <v>-0.18841039933333334</v>
      </c>
      <c r="AC19" t="s">
        <v>75</v>
      </c>
      <c r="AD19" s="13" t="s">
        <v>25</v>
      </c>
      <c r="AE19">
        <v>-0.36181913666666671</v>
      </c>
      <c r="AJ19" t="s">
        <v>79</v>
      </c>
      <c r="AK19" s="13" t="s">
        <v>29</v>
      </c>
      <c r="AL19">
        <v>-0.25210741899999994</v>
      </c>
      <c r="AQ19" t="s">
        <v>76</v>
      </c>
      <c r="AR19" s="13" t="s">
        <v>36</v>
      </c>
      <c r="AS19">
        <v>-0.25238113033333337</v>
      </c>
    </row>
    <row r="20" spans="1:45" x14ac:dyDescent="0.25">
      <c r="A20" t="s">
        <v>77</v>
      </c>
      <c r="B20" s="44" t="s">
        <v>18</v>
      </c>
      <c r="C20">
        <v>-0.37046440200000003</v>
      </c>
      <c r="H20" t="s">
        <v>80</v>
      </c>
      <c r="I20" s="13" t="s">
        <v>20</v>
      </c>
      <c r="J20">
        <v>-0.44051124723806739</v>
      </c>
      <c r="O20" t="s">
        <v>78</v>
      </c>
      <c r="P20" s="13" t="s">
        <v>71</v>
      </c>
      <c r="Q20">
        <v>1.4052697999999997E-2</v>
      </c>
      <c r="V20" t="s">
        <v>74</v>
      </c>
      <c r="W20" s="13" t="s">
        <v>19</v>
      </c>
      <c r="X20" s="46">
        <v>-0.32938857900000001</v>
      </c>
      <c r="AC20" t="s">
        <v>75</v>
      </c>
      <c r="AD20" s="13" t="s">
        <v>38</v>
      </c>
      <c r="AE20" s="46">
        <v>-0.39581502000000007</v>
      </c>
      <c r="AJ20" t="s">
        <v>79</v>
      </c>
      <c r="AK20" s="13" t="s">
        <v>26</v>
      </c>
      <c r="AL20">
        <v>-0.26728604066666667</v>
      </c>
      <c r="AQ20" t="s">
        <v>76</v>
      </c>
      <c r="AR20" s="14">
        <v>1771</v>
      </c>
      <c r="AS20">
        <v>-0.26561369699999998</v>
      </c>
    </row>
    <row r="21" spans="1:45" x14ac:dyDescent="0.25">
      <c r="A21" t="s">
        <v>77</v>
      </c>
      <c r="B21" s="43" t="s">
        <v>34</v>
      </c>
      <c r="C21">
        <v>-0.48258171699999997</v>
      </c>
      <c r="H21" t="s">
        <v>80</v>
      </c>
      <c r="I21" s="13" t="s">
        <v>19</v>
      </c>
      <c r="J21" s="46">
        <v>-0.44336602710647766</v>
      </c>
      <c r="O21" t="s">
        <v>78</v>
      </c>
      <c r="P21" s="13" t="s">
        <v>24</v>
      </c>
      <c r="Q21" s="46">
        <v>1.0207044999999989E-2</v>
      </c>
      <c r="V21" t="s">
        <v>74</v>
      </c>
      <c r="W21" s="13" t="s">
        <v>37</v>
      </c>
      <c r="X21" s="46">
        <v>-0.41350742800000012</v>
      </c>
      <c r="AC21" t="s">
        <v>75</v>
      </c>
      <c r="AD21" s="13" t="s">
        <v>36</v>
      </c>
      <c r="AE21" s="46">
        <v>-0.3995261243333334</v>
      </c>
      <c r="AJ21" t="s">
        <v>79</v>
      </c>
      <c r="AK21" s="13" t="s">
        <v>34</v>
      </c>
      <c r="AL21" s="46">
        <v>-0.26965770033333331</v>
      </c>
      <c r="AQ21" t="s">
        <v>76</v>
      </c>
      <c r="AR21" s="13" t="s">
        <v>21</v>
      </c>
      <c r="AS21" s="46">
        <v>-0.32032835433333334</v>
      </c>
    </row>
    <row r="22" spans="1:45" x14ac:dyDescent="0.25">
      <c r="A22" t="s">
        <v>77</v>
      </c>
      <c r="B22" s="43" t="s">
        <v>17</v>
      </c>
      <c r="C22">
        <v>-0.49039887133333332</v>
      </c>
      <c r="H22" t="s">
        <v>80</v>
      </c>
      <c r="I22" s="13" t="s">
        <v>25</v>
      </c>
      <c r="J22" s="46">
        <v>-0.54195928815224204</v>
      </c>
      <c r="O22" t="s">
        <v>78</v>
      </c>
      <c r="P22" s="13" t="s">
        <v>21</v>
      </c>
      <c r="Q22" s="46">
        <v>2.5603166666667101E-3</v>
      </c>
      <c r="V22" t="s">
        <v>74</v>
      </c>
      <c r="W22" s="13" t="s">
        <v>22</v>
      </c>
      <c r="X22" s="46">
        <v>-0.58266805966666668</v>
      </c>
      <c r="AC22" t="s">
        <v>75</v>
      </c>
      <c r="AD22" s="13" t="s">
        <v>21</v>
      </c>
      <c r="AE22" s="46">
        <v>-0.40315596400000003</v>
      </c>
      <c r="AJ22" t="s">
        <v>79</v>
      </c>
      <c r="AK22" s="14">
        <v>1771</v>
      </c>
      <c r="AL22" s="46">
        <v>-0.27843284100000004</v>
      </c>
      <c r="AQ22" t="s">
        <v>76</v>
      </c>
      <c r="AR22" s="13" t="s">
        <v>29</v>
      </c>
      <c r="AS22" s="46">
        <v>-0.35836195799999998</v>
      </c>
    </row>
    <row r="23" spans="1:45" x14ac:dyDescent="0.25">
      <c r="A23" t="s">
        <v>77</v>
      </c>
      <c r="B23" s="43" t="s">
        <v>70</v>
      </c>
      <c r="C23">
        <v>-0.51458850766666675</v>
      </c>
      <c r="H23" t="s">
        <v>80</v>
      </c>
      <c r="I23" s="13" t="s">
        <v>26</v>
      </c>
      <c r="J23" s="46">
        <v>-0.66294681132910349</v>
      </c>
      <c r="O23" t="s">
        <v>78</v>
      </c>
      <c r="P23" s="13" t="s">
        <v>70</v>
      </c>
      <c r="Q23" s="46">
        <v>-6.0488079666666673E-2</v>
      </c>
      <c r="V23" t="s">
        <v>74</v>
      </c>
      <c r="W23" s="13" t="s">
        <v>24</v>
      </c>
      <c r="X23" s="46">
        <v>-0.58757938700000001</v>
      </c>
      <c r="AC23" t="s">
        <v>75</v>
      </c>
      <c r="AD23" s="13" t="s">
        <v>22</v>
      </c>
      <c r="AE23" s="46">
        <v>-0.82473200800000013</v>
      </c>
      <c r="AJ23" t="s">
        <v>79</v>
      </c>
      <c r="AK23" s="13" t="s">
        <v>36</v>
      </c>
      <c r="AL23" s="46">
        <v>-0.39405124833333333</v>
      </c>
      <c r="AQ23" t="s">
        <v>76</v>
      </c>
      <c r="AR23" s="13" t="s">
        <v>26</v>
      </c>
      <c r="AS23" s="46">
        <v>-0.36058743533333332</v>
      </c>
    </row>
    <row r="24" spans="1:45" x14ac:dyDescent="0.25">
      <c r="A24" t="s">
        <v>77</v>
      </c>
      <c r="B24" s="43" t="s">
        <v>28</v>
      </c>
      <c r="C24">
        <v>-0.5645087603333333</v>
      </c>
      <c r="H24" t="s">
        <v>80</v>
      </c>
      <c r="I24" s="13" t="s">
        <v>24</v>
      </c>
      <c r="J24" s="46">
        <v>-0.79665044680833841</v>
      </c>
      <c r="O24" t="s">
        <v>78</v>
      </c>
      <c r="P24" s="13" t="s">
        <v>17</v>
      </c>
      <c r="Q24" s="46">
        <v>-8.6638777666666666E-2</v>
      </c>
      <c r="V24" t="s">
        <v>74</v>
      </c>
      <c r="W24" s="13" t="s">
        <v>26</v>
      </c>
      <c r="X24" s="46">
        <v>-0.6583156916666667</v>
      </c>
      <c r="AC24" t="s">
        <v>75</v>
      </c>
      <c r="AD24" s="13" t="s">
        <v>23</v>
      </c>
      <c r="AE24" s="46">
        <v>-1.2427865660000001</v>
      </c>
      <c r="AJ24" t="s">
        <v>79</v>
      </c>
      <c r="AK24" s="13" t="s">
        <v>19</v>
      </c>
      <c r="AL24" s="46">
        <v>-0.42867747900000003</v>
      </c>
      <c r="AQ24" t="s">
        <v>76</v>
      </c>
      <c r="AR24" s="13" t="s">
        <v>17</v>
      </c>
      <c r="AS24" s="46">
        <v>-0.36592056066666667</v>
      </c>
    </row>
    <row r="25" spans="1:45" x14ac:dyDescent="0.25">
      <c r="A25" t="s">
        <v>77</v>
      </c>
      <c r="B25" s="43" t="s">
        <v>38</v>
      </c>
      <c r="C25">
        <v>-0.68932469933333318</v>
      </c>
      <c r="H25" t="s">
        <v>80</v>
      </c>
      <c r="I25" s="13" t="s">
        <v>72</v>
      </c>
      <c r="J25" s="46">
        <v>-0.94152336243532408</v>
      </c>
      <c r="O25" t="s">
        <v>78</v>
      </c>
      <c r="P25" s="14">
        <v>1771</v>
      </c>
      <c r="Q25" s="46">
        <v>-0.14779716700000003</v>
      </c>
      <c r="V25" t="s">
        <v>74</v>
      </c>
      <c r="W25" s="14">
        <v>1771</v>
      </c>
      <c r="X25" s="46">
        <v>-0.77546239533333328</v>
      </c>
      <c r="AC25" t="s">
        <v>75</v>
      </c>
      <c r="AD25" s="13" t="s">
        <v>19</v>
      </c>
      <c r="AE25" s="46">
        <v>-1.2824168273333334</v>
      </c>
      <c r="AJ25" t="s">
        <v>79</v>
      </c>
      <c r="AK25" s="13" t="s">
        <v>17</v>
      </c>
      <c r="AL25" s="46">
        <v>-0.50101309766666668</v>
      </c>
      <c r="AQ25" t="s">
        <v>76</v>
      </c>
      <c r="AR25" s="13" t="s">
        <v>19</v>
      </c>
      <c r="AS25" s="46">
        <v>-0.42187827733333333</v>
      </c>
    </row>
    <row r="26" spans="1:45" x14ac:dyDescent="0.25">
      <c r="A26" t="s">
        <v>77</v>
      </c>
      <c r="B26" s="45">
        <v>1771</v>
      </c>
      <c r="C26">
        <v>-0.75661753966666667</v>
      </c>
      <c r="H26" t="s">
        <v>80</v>
      </c>
      <c r="I26" s="13" t="s">
        <v>35</v>
      </c>
      <c r="J26" s="46">
        <v>-1.3447690905959508</v>
      </c>
      <c r="O26" t="s">
        <v>78</v>
      </c>
      <c r="P26" s="13" t="s">
        <v>43</v>
      </c>
      <c r="Q26" s="46">
        <v>-0.19053142733333331</v>
      </c>
      <c r="V26" t="s">
        <v>74</v>
      </c>
      <c r="W26" s="13" t="s">
        <v>23</v>
      </c>
      <c r="X26">
        <v>-0.79787650899999996</v>
      </c>
      <c r="AC26" t="s">
        <v>75</v>
      </c>
      <c r="AD26" s="13" t="s">
        <v>37</v>
      </c>
      <c r="AE26" s="46">
        <v>-1.4625272889999998</v>
      </c>
      <c r="AJ26" t="s">
        <v>79</v>
      </c>
      <c r="AK26" s="13" t="s">
        <v>38</v>
      </c>
      <c r="AL26" s="46">
        <v>-0.64153393133333336</v>
      </c>
      <c r="AQ26" t="s">
        <v>76</v>
      </c>
      <c r="AR26" s="13" t="s">
        <v>38</v>
      </c>
      <c r="AS26" s="46">
        <v>-0.51043622533333333</v>
      </c>
    </row>
    <row r="27" spans="1:45" x14ac:dyDescent="0.25">
      <c r="P27" s="15"/>
    </row>
    <row r="28" spans="1:45" x14ac:dyDescent="0.25">
      <c r="P28" s="13"/>
    </row>
  </sheetData>
  <sortState xmlns:xlrd2="http://schemas.microsoft.com/office/spreadsheetml/2017/richdata2" ref="AQ2:AS28">
    <sortCondition descending="1" ref="AS1:AS28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08760-962C-4D33-81F6-B3FF0AF2A603}">
  <dimension ref="A1:F26"/>
  <sheetViews>
    <sheetView workbookViewId="0">
      <selection activeCell="B22" sqref="B22"/>
    </sheetView>
  </sheetViews>
  <sheetFormatPr defaultColWidth="13.85546875" defaultRowHeight="15" x14ac:dyDescent="0.25"/>
  <cols>
    <col min="1" max="3" width="13.85546875" style="5"/>
  </cols>
  <sheetData>
    <row r="1" spans="1:6" x14ac:dyDescent="0.25">
      <c r="A1" s="5" t="s">
        <v>50</v>
      </c>
      <c r="B1" s="5" t="s">
        <v>51</v>
      </c>
      <c r="C1" s="5" t="s">
        <v>52</v>
      </c>
      <c r="D1" s="5"/>
      <c r="E1" s="5"/>
      <c r="F1" s="5"/>
    </row>
    <row r="2" spans="1:6" x14ac:dyDescent="0.25">
      <c r="A2" s="3" t="s">
        <v>17</v>
      </c>
      <c r="B2" s="3" t="s">
        <v>39</v>
      </c>
      <c r="C2" s="5">
        <v>5000000</v>
      </c>
    </row>
    <row r="3" spans="1:6" x14ac:dyDescent="0.25">
      <c r="A3" s="3" t="s">
        <v>18</v>
      </c>
      <c r="B3" s="3" t="s">
        <v>39</v>
      </c>
      <c r="C3" s="5">
        <v>11750000</v>
      </c>
    </row>
    <row r="4" spans="1:6" x14ac:dyDescent="0.25">
      <c r="A4" s="3" t="s">
        <v>19</v>
      </c>
      <c r="B4" s="3" t="s">
        <v>39</v>
      </c>
      <c r="C4" s="5">
        <v>11000000</v>
      </c>
      <c r="D4" t="s">
        <v>100</v>
      </c>
    </row>
    <row r="5" spans="1:6" x14ac:dyDescent="0.25">
      <c r="A5" s="3" t="s">
        <v>20</v>
      </c>
      <c r="B5" s="3" t="s">
        <v>39</v>
      </c>
      <c r="C5" s="5">
        <v>10500000</v>
      </c>
    </row>
    <row r="6" spans="1:6" x14ac:dyDescent="0.25">
      <c r="A6" s="7" t="s">
        <v>21</v>
      </c>
      <c r="B6" s="7" t="s">
        <v>39</v>
      </c>
      <c r="C6" s="5">
        <v>14004000</v>
      </c>
    </row>
    <row r="7" spans="1:6" x14ac:dyDescent="0.25">
      <c r="A7" s="3" t="s">
        <v>22</v>
      </c>
      <c r="B7" s="7" t="s">
        <v>39</v>
      </c>
      <c r="C7" s="5">
        <v>14040000</v>
      </c>
    </row>
    <row r="8" spans="1:6" x14ac:dyDescent="0.25">
      <c r="A8" s="3" t="s">
        <v>23</v>
      </c>
      <c r="B8" s="7" t="s">
        <v>39</v>
      </c>
      <c r="C8" s="8">
        <v>7500000</v>
      </c>
    </row>
    <row r="9" spans="1:6" x14ac:dyDescent="0.25">
      <c r="A9" s="3" t="s">
        <v>24</v>
      </c>
      <c r="B9" s="7" t="s">
        <v>39</v>
      </c>
      <c r="C9" s="5">
        <v>9600000</v>
      </c>
    </row>
    <row r="10" spans="1:6" x14ac:dyDescent="0.25">
      <c r="A10" s="3" t="s">
        <v>25</v>
      </c>
      <c r="B10" s="7" t="s">
        <v>39</v>
      </c>
      <c r="C10" s="5">
        <v>9090000</v>
      </c>
    </row>
    <row r="11" spans="1:6" x14ac:dyDescent="0.25">
      <c r="A11" s="3" t="s">
        <v>26</v>
      </c>
      <c r="B11" s="7" t="s">
        <v>39</v>
      </c>
      <c r="C11" s="5">
        <v>4900000</v>
      </c>
    </row>
    <row r="12" spans="1:6" x14ac:dyDescent="0.25">
      <c r="A12" s="3" t="s">
        <v>40</v>
      </c>
      <c r="B12" s="3" t="s">
        <v>41</v>
      </c>
      <c r="C12" s="5">
        <v>20040000</v>
      </c>
    </row>
    <row r="13" spans="1:6" x14ac:dyDescent="0.25">
      <c r="A13" s="3" t="s">
        <v>27</v>
      </c>
      <c r="B13" s="3" t="s">
        <v>41</v>
      </c>
      <c r="C13" s="5">
        <v>19090000</v>
      </c>
    </row>
    <row r="14" spans="1:6" x14ac:dyDescent="0.25">
      <c r="A14" s="3" t="s">
        <v>28</v>
      </c>
      <c r="B14" s="3" t="s">
        <v>41</v>
      </c>
      <c r="C14" s="5">
        <v>12030000</v>
      </c>
    </row>
    <row r="15" spans="1:6" x14ac:dyDescent="0.25">
      <c r="A15" s="3" t="s">
        <v>29</v>
      </c>
      <c r="B15" s="3" t="s">
        <v>41</v>
      </c>
      <c r="C15" s="5">
        <v>9000000</v>
      </c>
    </row>
    <row r="16" spans="1:6" x14ac:dyDescent="0.25">
      <c r="A16" s="3" t="s">
        <v>30</v>
      </c>
      <c r="B16" s="3" t="s">
        <v>41</v>
      </c>
      <c r="C16" s="5">
        <v>7500000</v>
      </c>
    </row>
    <row r="17" spans="1:3" x14ac:dyDescent="0.25">
      <c r="A17" s="3" t="s">
        <v>31</v>
      </c>
      <c r="B17" s="3" t="s">
        <v>48</v>
      </c>
      <c r="C17" s="5">
        <v>13200000</v>
      </c>
    </row>
    <row r="18" spans="1:3" x14ac:dyDescent="0.25">
      <c r="A18" s="3" t="s">
        <v>32</v>
      </c>
      <c r="B18" s="3" t="s">
        <v>48</v>
      </c>
      <c r="C18" s="5">
        <v>10200000</v>
      </c>
    </row>
    <row r="19" spans="1:3" x14ac:dyDescent="0.25">
      <c r="A19" s="3" t="s">
        <v>49</v>
      </c>
      <c r="B19" s="3" t="s">
        <v>33</v>
      </c>
      <c r="C19" s="5">
        <v>11400000</v>
      </c>
    </row>
    <row r="20" spans="1:3" x14ac:dyDescent="0.25">
      <c r="A20" s="3" t="s">
        <v>34</v>
      </c>
      <c r="B20" s="3" t="s">
        <v>47</v>
      </c>
      <c r="C20" s="5">
        <v>8400000</v>
      </c>
    </row>
    <row r="21" spans="1:3" x14ac:dyDescent="0.25">
      <c r="A21" s="3" t="s">
        <v>35</v>
      </c>
      <c r="B21" s="3" t="s">
        <v>42</v>
      </c>
      <c r="C21" s="5">
        <v>7300000</v>
      </c>
    </row>
    <row r="22" spans="1:3" x14ac:dyDescent="0.25">
      <c r="A22" s="3" t="s">
        <v>43</v>
      </c>
      <c r="B22" s="3" t="s">
        <v>42</v>
      </c>
      <c r="C22" s="5">
        <v>8400000</v>
      </c>
    </row>
    <row r="23" spans="1:3" x14ac:dyDescent="0.25">
      <c r="A23" s="3" t="s">
        <v>36</v>
      </c>
      <c r="B23" s="3" t="s">
        <v>46</v>
      </c>
      <c r="C23" s="5">
        <v>19800000</v>
      </c>
    </row>
    <row r="24" spans="1:3" x14ac:dyDescent="0.25">
      <c r="A24" s="3" t="s">
        <v>37</v>
      </c>
      <c r="B24" s="3" t="s">
        <v>44</v>
      </c>
      <c r="C24" s="5">
        <v>12600000</v>
      </c>
    </row>
    <row r="25" spans="1:3" x14ac:dyDescent="0.25">
      <c r="A25" s="4" t="s">
        <v>38</v>
      </c>
      <c r="B25" s="4" t="s">
        <v>45</v>
      </c>
      <c r="C25" s="5">
        <v>7200000</v>
      </c>
    </row>
    <row r="26" spans="1:3" x14ac:dyDescent="0.25">
      <c r="A26" s="4">
        <v>1771</v>
      </c>
      <c r="B26" s="4" t="s">
        <v>45</v>
      </c>
      <c r="C26" s="5">
        <v>6800000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 1</vt:lpstr>
      <vt:lpstr>Table 2 and 3</vt:lpstr>
      <vt:lpstr>DEG volcano</vt:lpstr>
      <vt:lpstr>Supp Table 1</vt:lpstr>
      <vt:lpstr>all cytos + ctrl</vt:lpstr>
      <vt:lpstr>pairwise groups</vt:lpstr>
      <vt:lpstr>May leave 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Brady,Rachel</dc:creator>
  <cp:lastModifiedBy>Brady,Rachel</cp:lastModifiedBy>
  <cp:lastPrinted>2025-05-08T18:43:52Z</cp:lastPrinted>
  <dcterms:created xsi:type="dcterms:W3CDTF">2025-02-09T12:50:32Z</dcterms:created>
  <dcterms:modified xsi:type="dcterms:W3CDTF">2025-05-15T05:04:25Z</dcterms:modified>
</cp:coreProperties>
</file>